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9400" windowHeight="16860" tabRatio="500" firstSheet="0" activeTab="3" autoFilterDateGrouping="1"/>
  </bookViews>
  <sheets>
    <sheet name="Capa" sheetId="1" state="visible" r:id="rId1"/>
    <sheet name="Descrição e Matriz" sheetId="2" state="visible" r:id="rId2"/>
    <sheet name="Ameaça e  Riscos" sheetId="3" state="visible" r:id="rId3"/>
    <sheet name="mapa de calor" sheetId="4" state="visible" r:id="rId4"/>
  </sheets>
  <definedNames>
    <definedName name="_xlnm._FilterDatabase" localSheetId="2" hidden="1">'Ameaça e  Riscos'!$B$9:$N$83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/m/yyyy"/>
    <numFmt numFmtId="165" formatCode="000"/>
  </numFmts>
  <fonts count="25">
    <font>
      <name val="Calibri"/>
      <charset val="134"/>
      <color rgb="FF000000"/>
      <sz val="11"/>
    </font>
    <font>
      <name val="Arial"/>
      <charset val="1"/>
      <family val="2"/>
      <sz val="10"/>
    </font>
    <font>
      <name val="Calibri"/>
      <charset val="1"/>
      <family val="2"/>
      <color rgb="FF000000"/>
      <sz val="11"/>
    </font>
    <font>
      <name val="Times New Roman"/>
      <charset val="1"/>
      <family val="1"/>
      <sz val="12"/>
    </font>
    <font>
      <name val="Times New Roman"/>
      <charset val="1"/>
      <family val="1"/>
      <b val="1"/>
      <sz val="12"/>
    </font>
    <font>
      <name val="Arial"/>
      <charset val="1"/>
      <family val="2"/>
      <b val="1"/>
      <color rgb="FFFF0000"/>
      <sz val="12"/>
    </font>
    <font>
      <name val="Arial"/>
      <charset val="1"/>
      <family val="2"/>
      <b val="1"/>
      <sz val="30"/>
    </font>
    <font>
      <name val="Arial"/>
      <charset val="1"/>
      <family val="2"/>
      <b val="1"/>
      <sz val="14"/>
    </font>
    <font>
      <name val="Arial"/>
      <charset val="1"/>
      <family val="2"/>
      <color rgb="FFFFFFFF"/>
      <sz val="10"/>
    </font>
    <font>
      <name val="Arial"/>
      <charset val="1"/>
      <family val="2"/>
      <b val="1"/>
      <sz val="12"/>
    </font>
    <font>
      <name val="Arial"/>
      <charset val="1"/>
      <family val="2"/>
      <sz val="9.800000000000001"/>
    </font>
    <font>
      <name val="Times New Roman"/>
      <charset val="1"/>
      <family val="1"/>
      <b val="1"/>
      <sz val="10"/>
    </font>
    <font>
      <name val="Calibri"/>
      <charset val="1"/>
      <family val="2"/>
      <color rgb="FF000000"/>
      <sz val="9"/>
    </font>
    <font>
      <name val="Calibri"/>
      <charset val="1"/>
      <family val="2"/>
      <b val="1"/>
      <color rgb="FF000000"/>
      <sz val="14"/>
    </font>
    <font>
      <name val="Calibri"/>
      <charset val="1"/>
      <family val="2"/>
      <b val="1"/>
      <color rgb="FFFFFFFF"/>
      <sz val="9"/>
    </font>
    <font>
      <name val="Calibri"/>
      <charset val="1"/>
      <family val="2"/>
      <b val="1"/>
      <sz val="9"/>
    </font>
    <font>
      <name val="Calibri"/>
      <charset val="1"/>
      <family val="2"/>
      <color rgb="FFFFFFFF"/>
      <sz val="9"/>
    </font>
    <font>
      <name val="Calibri"/>
      <charset val="1"/>
      <family val="2"/>
      <b val="1"/>
      <color rgb="FF000000"/>
      <sz val="9"/>
    </font>
    <font>
      <name val="Calibri"/>
      <charset val="1"/>
      <family val="2"/>
      <b val="1"/>
      <color rgb="FF4C4C4C"/>
      <sz val="9"/>
    </font>
    <font>
      <name val="Calibri"/>
      <charset val="1"/>
      <family val="2"/>
      <sz val="9"/>
    </font>
    <font>
      <name val="Calibri"/>
      <charset val="1"/>
      <family val="2"/>
      <color rgb="FF000000"/>
      <sz val="10"/>
    </font>
    <font>
      <name val="Calibri"/>
      <charset val="1"/>
      <family val="2"/>
      <b val="1"/>
      <color rgb="FF4C4C4C"/>
      <sz val="10"/>
    </font>
    <font>
      <name val="Calibri"/>
      <charset val="1"/>
      <family val="2"/>
      <b val="1"/>
      <color rgb="FF000000"/>
      <sz val="10"/>
    </font>
    <font>
      <name val="Calibri"/>
      <charset val="1"/>
      <family val="2"/>
      <b val="1"/>
      <color rgb="FFFFFFFF"/>
      <sz val="11"/>
    </font>
    <font>
      <name val="Calibri"/>
      <family val="2"/>
      <color rgb="FF000000"/>
      <sz val="9"/>
    </font>
  </fonts>
  <fills count="15">
    <fill>
      <patternFill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00B0F0"/>
        <bgColor rgb="FF33CCCC"/>
      </patternFill>
    </fill>
    <fill>
      <patternFill patternType="solid">
        <fgColor rgb="FF002060"/>
        <bgColor rgb="FF000080"/>
      </patternFill>
    </fill>
    <fill>
      <patternFill patternType="solid">
        <fgColor rgb="FFDCE6F2"/>
        <bgColor rgb="FFD0D0D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D300"/>
      </patternFill>
    </fill>
    <fill>
      <patternFill patternType="solid">
        <fgColor rgb="FF92D050"/>
        <bgColor rgb="FFC0C0C0"/>
      </patternFill>
    </fill>
    <fill>
      <patternFill patternType="solid">
        <fgColor rgb="FFFFD300"/>
        <bgColor rgb="FFFFC000"/>
      </patternFill>
    </fill>
    <fill>
      <patternFill patternType="solid">
        <fgColor rgb="FF4C4C4C"/>
        <bgColor rgb="FF333300"/>
      </patternFill>
    </fill>
    <fill>
      <patternFill patternType="solid">
        <fgColor rgb="FF808080"/>
        <bgColor rgb="FF969696"/>
      </patternFill>
    </fill>
    <fill>
      <patternFill patternType="solid">
        <fgColor rgb="FFD0D0D0"/>
        <bgColor rgb="FFC0C0C0"/>
      </patternFill>
    </fill>
    <fill>
      <patternFill patternType="solid">
        <fgColor rgb="FFFFDBB6"/>
        <bgColor rgb="FFD0D0D0"/>
      </patternFill>
    </fill>
    <fill>
      <patternFill patternType="solid">
        <fgColor rgb="FFFFFFD7"/>
        <bgColor rgb="FFFFFFFF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79">
    <xf numFmtId="0" fontId="0" fillId="0" borderId="0" pivotButton="0" quotePrefix="0" xfId="0"/>
    <xf numFmtId="0" fontId="15" fillId="13" borderId="3" applyAlignment="1" pivotButton="0" quotePrefix="0" xfId="0">
      <alignment horizontal="left" vertical="center"/>
    </xf>
    <xf numFmtId="0" fontId="12" fillId="14" borderId="3" applyAlignment="1" pivotButton="0" quotePrefix="0" xfId="0">
      <alignment horizontal="left" wrapText="1"/>
    </xf>
    <xf numFmtId="0" fontId="15" fillId="13" borderId="3" applyAlignment="1" pivotButton="0" quotePrefix="0" xfId="0">
      <alignment vertical="center"/>
    </xf>
    <xf numFmtId="0" fontId="17" fillId="12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center"/>
    </xf>
    <xf numFmtId="0" fontId="18" fillId="9" borderId="1" applyAlignment="1" pivotButton="0" quotePrefix="0" xfId="0">
      <alignment horizontal="center"/>
    </xf>
    <xf numFmtId="0" fontId="14" fillId="4" borderId="2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1" fillId="0" borderId="1" applyAlignment="1" pivotButton="0" quotePrefix="0" xfId="1">
      <alignment horizontal="center" wrapText="1"/>
    </xf>
    <xf numFmtId="0" fontId="10" fillId="0" borderId="1" applyAlignment="1" pivotButton="0" quotePrefix="0" xfId="1">
      <alignment horizontal="justify" vertical="top" wrapText="1"/>
    </xf>
    <xf numFmtId="0" fontId="6" fillId="0" borderId="0" applyAlignment="1" applyProtection="1" pivotButton="0" quotePrefix="0" xfId="1">
      <alignment horizontal="center" wrapText="1"/>
      <protection locked="0" hidden="0"/>
    </xf>
    <xf numFmtId="0" fontId="6" fillId="0" borderId="1" applyAlignment="1" pivotButton="0" quotePrefix="0" xfId="1">
      <alignment horizontal="center" wrapText="1"/>
    </xf>
    <xf numFmtId="0" fontId="4" fillId="0" borderId="1" applyAlignment="1" pivotButton="0" quotePrefix="0" xfId="1">
      <alignment horizontal="center" vertical="top" wrapText="1"/>
    </xf>
    <xf numFmtId="0" fontId="3" fillId="2" borderId="1" applyAlignment="1" pivotButton="0" quotePrefix="0" xfId="1">
      <alignment horizontal="center" vertical="top" wrapText="1"/>
    </xf>
    <xf numFmtId="0" fontId="1" fillId="0" borderId="1" applyAlignment="1" pivotButton="0" quotePrefix="0" xfId="1">
      <alignment horizontal="center"/>
    </xf>
    <xf numFmtId="0" fontId="4" fillId="0" borderId="1" applyAlignment="1" pivotButton="0" quotePrefix="0" xfId="1">
      <alignment vertical="top" wrapText="1"/>
    </xf>
    <xf numFmtId="0" fontId="5" fillId="0" borderId="1" pivotButton="0" quotePrefix="0" xfId="1"/>
    <xf numFmtId="0" fontId="1" fillId="0" borderId="1" applyAlignment="1" pivotButton="0" quotePrefix="0" xfId="1">
      <alignment horizontal="left"/>
    </xf>
    <xf numFmtId="0" fontId="7" fillId="0" borderId="1" applyAlignment="1" pivotButton="0" quotePrefix="0" xfId="1">
      <alignment horizontal="left"/>
    </xf>
    <xf numFmtId="0" fontId="8" fillId="0" borderId="1" applyAlignment="1" pivotButton="0" quotePrefix="0" xfId="1">
      <alignment horizontal="center" vertical="center"/>
    </xf>
    <xf numFmtId="0" fontId="9" fillId="0" borderId="0" applyAlignment="1" applyProtection="1" pivotButton="0" quotePrefix="0" xfId="1">
      <alignment horizontal="left"/>
      <protection locked="0" hidden="0"/>
    </xf>
    <xf numFmtId="0" fontId="1" fillId="0" borderId="1" pivotButton="0" quotePrefix="0" xfId="1"/>
    <xf numFmtId="0" fontId="7" fillId="0" borderId="1" pivotButton="0" quotePrefix="0" xfId="1"/>
    <xf numFmtId="164" fontId="9" fillId="0" borderId="1" applyAlignment="1" applyProtection="1" pivotButton="0" quotePrefix="0" xfId="1">
      <alignment horizontal="left"/>
      <protection locked="0" hidden="0"/>
    </xf>
    <xf numFmtId="0" fontId="12" fillId="0" borderId="0" pivotButton="0" quotePrefix="0" xfId="0"/>
    <xf numFmtId="0" fontId="14" fillId="0" borderId="0" pivotButton="0" quotePrefix="0" xfId="0"/>
    <xf numFmtId="0" fontId="15" fillId="3" borderId="3" pivotButton="0" quotePrefix="0" xfId="0"/>
    <xf numFmtId="0" fontId="16" fillId="4" borderId="3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5" borderId="3" applyAlignment="1" pivotButton="0" quotePrefix="0" xfId="0">
      <alignment horizontal="left" vertical="center"/>
    </xf>
    <xf numFmtId="0" fontId="17" fillId="6" borderId="3" applyAlignment="1" pivotButton="0" quotePrefix="0" xfId="0">
      <alignment horizontal="center"/>
    </xf>
    <xf numFmtId="0" fontId="17" fillId="7" borderId="3" applyAlignment="1" pivotButton="0" quotePrefix="0" xfId="0">
      <alignment horizontal="center"/>
    </xf>
    <xf numFmtId="0" fontId="17" fillId="2" borderId="3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7" fillId="8" borderId="3" applyAlignment="1" pivotButton="0" quotePrefix="0" xfId="0">
      <alignment horizontal="center"/>
    </xf>
    <xf numFmtId="0" fontId="17" fillId="0" borderId="0" pivotButton="0" quotePrefix="0" xfId="0"/>
    <xf numFmtId="0" fontId="14" fillId="10" borderId="1" applyAlignment="1" pivotButton="0" quotePrefix="0" xfId="0">
      <alignment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/>
    </xf>
    <xf numFmtId="0" fontId="12" fillId="12" borderId="1" applyAlignment="1" pivotButton="0" quotePrefix="0" xfId="0">
      <alignment horizontal="center" vertical="center" wrapText="1"/>
    </xf>
    <xf numFmtId="0" fontId="19" fillId="12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/>
    </xf>
    <xf numFmtId="0" fontId="20" fillId="0" borderId="0" pivotButton="0" quotePrefix="0" xfId="0"/>
    <xf numFmtId="0" fontId="21" fillId="9" borderId="1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3" fillId="11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12" fillId="14" borderId="3" applyAlignment="1" pivotButton="0" quotePrefix="0" xfId="0">
      <alignment horizontal="left" wrapText="1"/>
    </xf>
    <xf numFmtId="0" fontId="12" fillId="14" borderId="0" applyAlignment="1" pivotButton="0" quotePrefix="0" xfId="0">
      <alignment horizontal="left" wrapText="1"/>
    </xf>
    <xf numFmtId="164" fontId="12" fillId="14" borderId="0" applyAlignment="1" pivotButton="0" quotePrefix="0" xfId="0">
      <alignment horizontal="left" wrapText="1"/>
    </xf>
    <xf numFmtId="0" fontId="22" fillId="7" borderId="3" applyAlignment="1" pivotButton="0" quotePrefix="0" xfId="0">
      <alignment horizontal="center"/>
    </xf>
    <xf numFmtId="0" fontId="22" fillId="2" borderId="3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165" fontId="12" fillId="14" borderId="3" applyAlignment="1" pivotButton="0" quotePrefix="0" xfId="0">
      <alignment horizontal="center" vertical="center"/>
    </xf>
    <xf numFmtId="0" fontId="12" fillId="14" borderId="3" applyAlignment="1" pivotButton="0" quotePrefix="0" xfId="0">
      <alignment horizontal="center" vertical="center"/>
    </xf>
    <xf numFmtId="0" fontId="12" fillId="14" borderId="3" pivotButton="0" quotePrefix="0" xfId="0"/>
    <xf numFmtId="0" fontId="12" fillId="14" borderId="3" applyAlignment="1" pivotButton="0" quotePrefix="0" xfId="0">
      <alignment horizontal="left" vertical="center"/>
    </xf>
    <xf numFmtId="0" fontId="12" fillId="14" borderId="3" applyAlignment="1" pivotButton="0" quotePrefix="0" xfId="0">
      <alignment horizontal="center"/>
    </xf>
    <xf numFmtId="0" fontId="24" fillId="14" borderId="3" applyAlignment="1" pivotButton="0" quotePrefix="0" xfId="0">
      <alignment horizontal="center"/>
    </xf>
    <xf numFmtId="0" fontId="12" fillId="14" borderId="3" applyAlignment="1" pivotButton="0" quotePrefix="0" xfId="0">
      <alignment horizontal="left"/>
    </xf>
    <xf numFmtId="0" fontId="12" fillId="14" borderId="3" applyAlignment="1" pivotButton="0" quotePrefix="0" xfId="0">
      <alignment vertical="center"/>
    </xf>
    <xf numFmtId="0" fontId="12" fillId="14" borderId="3" applyAlignment="1" pivotButton="0" quotePrefix="0" xfId="0">
      <alignment wrapText="1"/>
    </xf>
    <xf numFmtId="0" fontId="12" fillId="14" borderId="3" applyAlignment="1" pivotButton="0" quotePrefix="0" xfId="0">
      <alignment horizontal="left" vertical="center" wrapText="1"/>
    </xf>
    <xf numFmtId="0" fontId="12" fillId="14" borderId="3" applyAlignment="1" pivotButton="0" quotePrefix="0" xfId="0">
      <alignment vertical="center" wrapText="1"/>
    </xf>
    <xf numFmtId="0" fontId="12" fillId="0" borderId="3" pivotButton="0" quotePrefix="0" xfId="0"/>
    <xf numFmtId="165" fontId="12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wrapText="1"/>
    </xf>
    <xf numFmtId="164" fontId="12" fillId="14" borderId="3" applyAlignment="1" pivotButton="0" quotePrefix="0" xfId="0">
      <alignment horizontal="left" wrapText="1"/>
    </xf>
    <xf numFmtId="0" fontId="22" fillId="7" borderId="3" applyAlignment="1" pivotButton="0" quotePrefix="0" xfId="0">
      <alignment horizontal="center"/>
    </xf>
    <xf numFmtId="0" fontId="0" fillId="0" borderId="8" pivotButton="0" quotePrefix="0" xfId="0"/>
    <xf numFmtId="0" fontId="0" fillId="0" borderId="7" pivotButton="0" quotePrefix="0" xfId="0"/>
    <xf numFmtId="0" fontId="0" fillId="0" borderId="0" applyProtection="1" pivotButton="0" quotePrefix="0" xfId="0">
      <protection locked="0" hidden="0"/>
    </xf>
    <xf numFmtId="0" fontId="0" fillId="0" borderId="4" pivotButton="0" quotePrefix="0" xfId="0"/>
    <xf numFmtId="0" fontId="0" fillId="0" borderId="11" pivotButton="0" quotePrefix="0" xfId="0"/>
  </cellXfs>
  <cellStyles count="4">
    <cellStyle name="Normal" xfId="0" builtinId="0"/>
    <cellStyle name="Normal 2" xfId="1"/>
    <cellStyle name="Normal 3" xfId="2"/>
    <cellStyle name="Normal 5" xfId="3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DCE6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2D050"/>
      <rgbColor rgb="FFFFD300"/>
      <rgbColor rgb="FFFFC0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4C4C4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765720</colOff>
      <row>2</row>
      <rowOff>64800</rowOff>
    </from>
    <to>
      <col>14</col>
      <colOff>142200</colOff>
      <row>12</row>
      <rowOff>23040</rowOff>
    </to>
    <pic>
      <nvPicPr>
        <cNvPr id="2" name="Figura 1"/>
        <cNvPicPr/>
      </nvPicPr>
      <blipFill>
        <a:blip r:embed="rId1"/>
        <a:stretch>
          <a:fillRect/>
        </a:stretch>
      </blipFill>
      <spPr>
        <a:xfrm>
          <a:off x="9376200" y="455040"/>
          <a:ext cx="1708200" cy="1713960"/>
        </a:xfrm>
        <a:prstGeom prst="rect">
          <avLst/>
        </a:prstGeom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3"/>
  <sheetViews>
    <sheetView showGridLines="0" topLeftCell="A21" zoomScale="90" zoomScaleNormal="90" workbookViewId="0">
      <selection activeCell="C21" sqref="C21:M21"/>
    </sheetView>
  </sheetViews>
  <sheetFormatPr baseColWidth="10" defaultColWidth="8.6640625" defaultRowHeight="15"/>
  <cols>
    <col width="3.1640625" customWidth="1" style="15" min="1" max="1"/>
    <col width="8.6640625" customWidth="1" style="15" min="2" max="2"/>
    <col width="11.1640625" customWidth="1" style="15" min="3" max="3"/>
    <col width="6" customWidth="1" style="15" min="4" max="4"/>
    <col width="15.5" customWidth="1" style="15" min="5" max="5"/>
    <col width="8.6640625" customWidth="1" style="15" min="6" max="1024"/>
  </cols>
  <sheetData>
    <row r="2" ht="15.75" customHeight="1">
      <c r="B2" s="14" t="n"/>
      <c r="C2" s="74" t="n"/>
      <c r="D2" s="13" t="inlineStr">
        <is>
          <t>Análise de Riscos e Modelagem de Ameaças</t>
        </is>
      </c>
      <c r="E2" s="75" t="n"/>
      <c r="F2" s="75" t="n"/>
      <c r="G2" s="75" t="n"/>
      <c r="H2" s="75" t="n"/>
      <c r="I2" s="75" t="n"/>
      <c r="J2" s="75" t="n"/>
      <c r="K2" s="75" t="n"/>
      <c r="L2" s="74" t="n"/>
      <c r="M2" s="14" t="n"/>
      <c r="N2" s="74" t="n"/>
      <c r="O2" s="16" t="n"/>
    </row>
    <row r="4" ht="16" customHeight="1">
      <c r="G4" s="17" t="inlineStr">
        <is>
          <t>CONFIDENCIAL</t>
        </is>
      </c>
    </row>
    <row r="5" ht="2.25" customHeight="1"/>
    <row r="13" ht="68.75" customHeight="1">
      <c r="B13" s="12" t="inlineStr">
        <is>
          <t>Análise Modelagem de ameaças e avaliação de Riscos</t>
        </is>
      </c>
      <c r="C13" s="75" t="n"/>
      <c r="D13" s="75" t="n"/>
      <c r="E13" s="75" t="n"/>
      <c r="F13" s="75" t="n"/>
      <c r="G13" s="75" t="n"/>
      <c r="H13" s="75" t="n"/>
      <c r="I13" s="75" t="n"/>
      <c r="J13" s="75" t="n"/>
      <c r="K13" s="75" t="n"/>
      <c r="L13" s="75" t="n"/>
      <c r="M13" s="74" t="n"/>
    </row>
    <row r="14" ht="36.75" customHeight="1">
      <c r="B14" s="11" t="n"/>
      <c r="C14" s="76" t="n"/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6" t="n"/>
    </row>
    <row r="15" ht="17.25" customHeight="1">
      <c r="C15" s="18" t="n"/>
    </row>
    <row r="16" ht="18" customHeight="1">
      <c r="C16" s="19" t="inlineStr">
        <is>
          <t xml:space="preserve">Criador: </t>
        </is>
      </c>
      <c r="D16" s="20" t="inlineStr">
        <is>
          <t>Equipe de Segurança da Informação - ABC PLACE</t>
        </is>
      </c>
      <c r="E16" s="21" t="n"/>
    </row>
    <row r="17" ht="18" customHeight="1">
      <c r="C17" s="19" t="inlineStr">
        <is>
          <t xml:space="preserve">Versão: </t>
        </is>
      </c>
      <c r="D17" s="22" t="inlineStr">
        <is>
          <t>1.0</t>
        </is>
      </c>
      <c r="E17" s="21" t="n"/>
      <c r="F17" s="22" t="n"/>
    </row>
    <row r="18" ht="18" customHeight="1">
      <c r="C18" s="23" t="inlineStr">
        <is>
          <t xml:space="preserve">Data: </t>
        </is>
      </c>
      <c r="D18" s="22" t="inlineStr">
        <is>
          <t>30/03/2026</t>
        </is>
      </c>
      <c r="E18" s="24" t="n"/>
    </row>
    <row r="21" ht="90" customHeight="1">
      <c r="C21" s="10" t="inlineStr">
        <is>
          <t>Documento elaborado para realizar a análise de riscos da ABC-PLACE, conforme consultoria de avaliação externa de avaliação de riscos.
Este documento tem como o intuito de garantir um processo de melhoria contínua dos riscos de segurança da informação, de forma a mitigar os riscos, visando como objetivo o risco com a classificação mais baixa possível.</t>
        </is>
      </c>
      <c r="D21" s="75" t="n"/>
      <c r="E21" s="75" t="n"/>
      <c r="F21" s="75" t="n"/>
      <c r="G21" s="75" t="n"/>
      <c r="H21" s="75" t="n"/>
      <c r="I21" s="75" t="n"/>
      <c r="J21" s="75" t="n"/>
      <c r="K21" s="75" t="n"/>
      <c r="L21" s="75" t="n"/>
      <c r="M21" s="74" t="n"/>
    </row>
    <row r="23" ht="31.5" customHeight="1">
      <c r="C23" s="9" t="n"/>
      <c r="D23" s="75" t="n"/>
      <c r="E23" s="75" t="n"/>
      <c r="F23" s="75" t="n"/>
      <c r="G23" s="75" t="n"/>
      <c r="H23" s="75" t="n"/>
      <c r="I23" s="75" t="n"/>
      <c r="J23" s="75" t="n"/>
      <c r="K23" s="75" t="n"/>
      <c r="L23" s="75" t="n"/>
      <c r="M23" s="74" t="n"/>
    </row>
  </sheetData>
  <mergeCells count="7">
    <mergeCell ref="D2:L2"/>
    <mergeCell ref="M2:N2"/>
    <mergeCell ref="B2:C2"/>
    <mergeCell ref="C21:M21"/>
    <mergeCell ref="B14:M14"/>
    <mergeCell ref="B13:M13"/>
    <mergeCell ref="C23:M23"/>
  </mergeCells>
  <pageMargins left="0.511805555555555" right="0.511805555555555" top="0.7875" bottom="0.7875" header="0.511805555555555" footer="0.511805555555555"/>
  <pageSetup orientation="portrait" paperSize="9" firstPageNumber="0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37"/>
  <sheetViews>
    <sheetView showGridLines="0" topLeftCell="C10" zoomScaleNormal="100" workbookViewId="0">
      <selection activeCell="E17" sqref="E17"/>
    </sheetView>
  </sheetViews>
  <sheetFormatPr baseColWidth="10" defaultColWidth="8.6640625" defaultRowHeight="15"/>
  <cols>
    <col width="1.83203125" customWidth="1" style="25" min="1" max="1"/>
    <col width="30" customWidth="1" style="25" min="2" max="2"/>
    <col width="29.33203125" customWidth="1" style="25" min="3" max="3"/>
    <col width="23.83203125" customWidth="1" style="25" min="4" max="6"/>
    <col width="25" customWidth="1" style="25" min="7" max="7"/>
    <col width="20.83203125" customWidth="1" style="25" min="8" max="8"/>
    <col width="8.6640625" customWidth="1" style="25" min="9" max="1024"/>
  </cols>
  <sheetData>
    <row r="1" ht="19" customHeight="1">
      <c r="B1" s="8" t="inlineStr">
        <is>
          <t>Matriz de Risco - Descrição</t>
        </is>
      </c>
    </row>
    <row r="3">
      <c r="B3" s="26" t="n"/>
      <c r="C3" s="7" t="inlineStr">
        <is>
          <t>CONSEQUÊNCIA</t>
        </is>
      </c>
      <c r="D3" s="77" t="n"/>
      <c r="E3" s="77" t="n"/>
      <c r="F3" s="77" t="n"/>
    </row>
    <row r="4">
      <c r="B4" s="27" t="inlineStr">
        <is>
          <t>PROBABILIDADE</t>
        </is>
      </c>
      <c r="C4" s="28" t="inlineStr">
        <is>
          <t>BAIXA</t>
        </is>
      </c>
      <c r="D4" s="28" t="inlineStr">
        <is>
          <t>MODERADA</t>
        </is>
      </c>
      <c r="E4" s="28" t="inlineStr">
        <is>
          <t>ALTA</t>
        </is>
      </c>
      <c r="F4" s="28" t="inlineStr">
        <is>
          <t>CATASTRÓFICA</t>
        </is>
      </c>
      <c r="H4" s="29" t="n"/>
      <c r="I4" s="29" t="n"/>
      <c r="J4" s="29" t="n"/>
      <c r="K4" s="29" t="n"/>
    </row>
    <row r="5">
      <c r="B5" s="30" t="inlineStr">
        <is>
          <t>QUASE CERTA</t>
        </is>
      </c>
      <c r="C5" s="31" t="inlineStr">
        <is>
          <t>MODERADA 4</t>
        </is>
      </c>
      <c r="D5" s="32" t="inlineStr">
        <is>
          <t>ALTA 8</t>
        </is>
      </c>
      <c r="E5" s="33" t="inlineStr">
        <is>
          <t>EXTREMA 12</t>
        </is>
      </c>
      <c r="F5" s="33" t="inlineStr">
        <is>
          <t>EXTREMA 16</t>
        </is>
      </c>
      <c r="H5" s="34" t="n"/>
      <c r="I5" s="34" t="n"/>
      <c r="J5" s="34" t="n"/>
      <c r="K5" s="34" t="n"/>
    </row>
    <row r="6">
      <c r="B6" s="30" t="inlineStr">
        <is>
          <t>PROVÁVEL</t>
        </is>
      </c>
      <c r="C6" s="31" t="inlineStr">
        <is>
          <t>MODERADA 3</t>
        </is>
      </c>
      <c r="D6" s="31" t="inlineStr">
        <is>
          <t>MODERADA 6</t>
        </is>
      </c>
      <c r="E6" s="32" t="inlineStr">
        <is>
          <t xml:space="preserve">ALTA 9 </t>
        </is>
      </c>
      <c r="F6" s="33" t="inlineStr">
        <is>
          <t>EXTREMA 12</t>
        </is>
      </c>
      <c r="H6" s="34" t="n"/>
      <c r="I6" s="34" t="n"/>
      <c r="J6" s="34" t="n"/>
      <c r="K6" s="34" t="n"/>
    </row>
    <row r="7">
      <c r="B7" s="30" t="inlineStr">
        <is>
          <t>POSSÍVEL</t>
        </is>
      </c>
      <c r="C7" s="35" t="inlineStr">
        <is>
          <t>BAIXA 2</t>
        </is>
      </c>
      <c r="D7" s="31" t="inlineStr">
        <is>
          <t>MODERADA 4</t>
        </is>
      </c>
      <c r="E7" s="31" t="inlineStr">
        <is>
          <t>MODERADA 6</t>
        </is>
      </c>
      <c r="F7" s="32" t="inlineStr">
        <is>
          <t>ALTA 8</t>
        </is>
      </c>
      <c r="H7" s="34" t="n"/>
      <c r="I7" s="34" t="n"/>
      <c r="J7" s="34" t="n"/>
      <c r="K7" s="34" t="n"/>
    </row>
    <row r="8">
      <c r="B8" s="30" t="inlineStr">
        <is>
          <t>IMPROVÁVEL</t>
        </is>
      </c>
      <c r="C8" s="35" t="inlineStr">
        <is>
          <t>BAIXA 1</t>
        </is>
      </c>
      <c r="D8" s="35" t="inlineStr">
        <is>
          <t>BAIXA 2</t>
        </is>
      </c>
      <c r="E8" s="31" t="inlineStr">
        <is>
          <t>MODERADA 3</t>
        </is>
      </c>
      <c r="F8" s="31" t="inlineStr">
        <is>
          <t>MODERADA 4</t>
        </is>
      </c>
      <c r="H8" s="34" t="n"/>
      <c r="I8" s="34" t="n"/>
      <c r="J8" s="34" t="n"/>
      <c r="K8" s="34" t="n"/>
    </row>
    <row r="10">
      <c r="B10" s="36" t="inlineStr">
        <is>
          <t>BAIXA = 1-2</t>
        </is>
      </c>
    </row>
    <row r="11">
      <c r="B11" s="36" t="inlineStr">
        <is>
          <t>MODERADA = 3-6</t>
        </is>
      </c>
    </row>
    <row r="12">
      <c r="B12" s="36" t="inlineStr">
        <is>
          <t>ALTA = 7-9</t>
        </is>
      </c>
    </row>
    <row r="13">
      <c r="B13" s="36" t="inlineStr">
        <is>
          <t>EXTREMA &gt; 9</t>
        </is>
      </c>
    </row>
    <row r="15">
      <c r="B15" s="6" t="inlineStr">
        <is>
          <t>PROBABILIDADE</t>
        </is>
      </c>
      <c r="C15" s="75" t="n"/>
      <c r="D15" s="75" t="n"/>
      <c r="E15" s="74" t="n"/>
    </row>
    <row r="16" ht="45" customHeight="1">
      <c r="B16" s="37" t="inlineStr">
        <is>
          <t>CLASSIFICAÇÕES</t>
        </is>
      </c>
      <c r="C16" s="38" t="inlineStr">
        <is>
          <t>DESCRIÇÃO</t>
        </is>
      </c>
      <c r="D16" s="39" t="inlineStr">
        <is>
          <t>PROBABILIDADE DE EVENTOS</t>
        </is>
      </c>
      <c r="E16" s="39" t="inlineStr">
        <is>
          <t>FREQUÊNCIA DE MÚLTIPLOS EVENTOS</t>
        </is>
      </c>
      <c r="F16" s="36" t="n"/>
      <c r="G16" s="36" t="n"/>
    </row>
    <row r="17" ht="45" customHeight="1">
      <c r="B17" s="40" t="inlineStr">
        <is>
          <t>QUASE CERTA (4)</t>
        </is>
      </c>
      <c r="C17" s="41" t="inlineStr">
        <is>
          <t>Previsto para ocorrer na maioria das circunstâncias.</t>
        </is>
      </c>
      <c r="D17" s="42" t="inlineStr">
        <is>
          <t>&gt;50%</t>
        </is>
      </c>
      <c r="E17" s="43" t="inlineStr">
        <is>
          <t>Ao menos uma vez por semana</t>
        </is>
      </c>
      <c r="F17" s="36" t="n"/>
      <c r="G17" s="36" t="n"/>
    </row>
    <row r="18" ht="45" customHeight="1">
      <c r="B18" s="40" t="inlineStr">
        <is>
          <t>PROVÁVEL (3)</t>
        </is>
      </c>
      <c r="C18" s="43" t="inlineStr">
        <is>
          <t>Provavelmente vai ocorrer na maioria das circunstâncias.</t>
        </is>
      </c>
      <c r="D18" s="42" t="inlineStr">
        <is>
          <t>25% - 50%</t>
        </is>
      </c>
      <c r="E18" s="43" t="inlineStr">
        <is>
          <t>Ao menos uma vez por mês</t>
        </is>
      </c>
      <c r="F18" s="36" t="n"/>
      <c r="G18" s="36" t="n"/>
    </row>
    <row r="19" ht="45" customHeight="1">
      <c r="B19" s="40" t="inlineStr">
        <is>
          <t>POSSÍVEL (2)</t>
        </is>
      </c>
      <c r="C19" s="43" t="inlineStr">
        <is>
          <t>Pode ocorrer em algum momento.</t>
        </is>
      </c>
      <c r="D19" s="42" t="inlineStr">
        <is>
          <t>5% - 25%</t>
        </is>
      </c>
      <c r="E19" s="43" t="inlineStr">
        <is>
          <t>Ao menos uma vez por ano</t>
        </is>
      </c>
      <c r="F19" s="36" t="n"/>
      <c r="G19" s="36" t="n"/>
    </row>
    <row r="20" ht="45" customHeight="1">
      <c r="B20" s="40" t="inlineStr">
        <is>
          <t>IMPROVÁVEL (1)</t>
        </is>
      </c>
      <c r="C20" s="43" t="inlineStr">
        <is>
          <t>Pode acontecer apenas em circunstâncias excepcionais.</t>
        </is>
      </c>
      <c r="D20" s="42" t="inlineStr">
        <is>
          <t>&lt;5%</t>
        </is>
      </c>
      <c r="E20" s="43" t="inlineStr">
        <is>
          <t>Ao menos uma vez a cada três anos</t>
        </is>
      </c>
      <c r="F20" s="36" t="n"/>
      <c r="G20" s="36" t="n"/>
    </row>
    <row r="23">
      <c r="B23" s="6" t="inlineStr">
        <is>
          <t>IMPACTO</t>
        </is>
      </c>
      <c r="C23" s="75" t="n"/>
      <c r="D23" s="75" t="n"/>
      <c r="E23" s="74" t="n"/>
    </row>
    <row r="24">
      <c r="B24" s="44" t="inlineStr">
        <is>
          <t>Classificação</t>
        </is>
      </c>
      <c r="C24" s="44" t="inlineStr">
        <is>
          <t>Reputação e Imagem</t>
        </is>
      </c>
      <c r="D24" s="44" t="inlineStr">
        <is>
          <t>Perda Operacional</t>
        </is>
      </c>
      <c r="E24" s="44" t="inlineStr">
        <is>
          <t>Compliance</t>
        </is>
      </c>
    </row>
    <row r="25" ht="39" customHeight="1">
      <c r="B25" s="40" t="inlineStr">
        <is>
          <t>CATASTRÓFICA (4)</t>
        </is>
      </c>
      <c r="C25" s="41" t="inlineStr">
        <is>
          <t>Notícias veiculadas amplamente, dano à imagem significativo, processos de terceiros, perda de negócios.</t>
        </is>
      </c>
      <c r="D25" s="41" t="inlineStr">
        <is>
          <t>Dano altíssimo, superando 8 horas de indisponibilidade nos serviços da ABC-PLACE.</t>
        </is>
      </c>
      <c r="E25" s="41" t="inlineStr">
        <is>
          <t>Cessação das atividades, processos e multas.</t>
        </is>
      </c>
    </row>
    <row r="26" ht="52" customHeight="1">
      <c r="B26" s="40" t="inlineStr">
        <is>
          <t>ALTA (3)</t>
        </is>
      </c>
      <c r="C26" s="41" t="inlineStr">
        <is>
          <t>Notícias veiculadas, impacto embaraçoso para a ABC-PLACE, possíveis ações de terceiros.</t>
        </is>
      </c>
      <c r="D26" s="41" t="inlineStr">
        <is>
          <t>Alto dano à operação, impactando o ambiente em 8 horas de indisponibilidade nos serviços da ABC-PLACE.</t>
        </is>
      </c>
      <c r="E26" s="41" t="inlineStr">
        <is>
          <t>Suspensão da atividade, processos e multas.</t>
        </is>
      </c>
    </row>
    <row r="27" ht="52" customHeight="1">
      <c r="B27" s="40" t="inlineStr">
        <is>
          <t>MODERADA (2)</t>
        </is>
      </c>
      <c r="C27" s="41" t="inlineStr">
        <is>
          <t>Notícias veiculadas em pequena escala, causandando desconforto à ABC-PLACE.</t>
        </is>
      </c>
      <c r="D27" s="41" t="inlineStr">
        <is>
          <t>Dano significante à operação, impactando o ambiente em 4 horas de indisponibilidade nos serviços da ABC-PLACE.</t>
        </is>
      </c>
      <c r="E27" s="41" t="inlineStr">
        <is>
          <t xml:space="preserve">Formal warning from regulator.
</t>
        </is>
      </c>
    </row>
    <row r="28" ht="39" customHeight="1">
      <c r="B28" s="40" t="inlineStr">
        <is>
          <t>BAIXA (1)</t>
        </is>
      </c>
      <c r="C28" s="41" t="inlineStr">
        <is>
          <t>Notícias veiculadas em baixa escala, causando pouco desconforto à ABC-PLACE.</t>
        </is>
      </c>
      <c r="D28" s="41" t="inlineStr">
        <is>
          <t>Baixo dano a operação, não passando de 1 hora de inoperabilidade.</t>
        </is>
      </c>
      <c r="E28" s="41" t="inlineStr">
        <is>
          <t>Falha pequena de poucos controles.</t>
        </is>
      </c>
    </row>
    <row r="30">
      <c r="B30" s="36" t="n"/>
    </row>
    <row r="31" ht="19" customHeight="1">
      <c r="B31" s="8" t="inlineStr">
        <is>
          <t>Classificação dos Riscos e Ações Necessárias</t>
        </is>
      </c>
    </row>
    <row r="32">
      <c r="B32" s="36" t="n"/>
    </row>
    <row r="33" ht="14" customFormat="1" customHeight="1" s="45">
      <c r="B33" s="46" t="inlineStr">
        <is>
          <t>Risco</t>
        </is>
      </c>
      <c r="C33" s="46" t="inlineStr">
        <is>
          <t>Classificação</t>
        </is>
      </c>
      <c r="D33" s="46" t="inlineStr">
        <is>
          <t>Ação Necessária</t>
        </is>
      </c>
      <c r="E33" s="75" t="n"/>
      <c r="F33" s="75" t="n"/>
      <c r="G33" s="74" t="n"/>
      <c r="H33" s="47" t="n"/>
    </row>
    <row r="34" ht="36.75" customHeight="1">
      <c r="B34" s="48" t="inlineStr">
        <is>
          <t xml:space="preserve">&gt; 9 </t>
        </is>
      </c>
      <c r="C34" s="48" t="inlineStr">
        <is>
          <t>Extrema</t>
        </is>
      </c>
      <c r="D34" s="4" t="inlineStr">
        <is>
          <t>Risco não aceitável: Grande probabilidade de ameaça as atividades da organização, seja operacional, reputacional ou de conformidade. Ações imediatas são necessárias e deverão ser acompanhadas por responsáveis qualificados. Todas as ações deverão ser repostadas à diretoria da ABC PLACE.</t>
        </is>
      </c>
      <c r="E34" s="75" t="n"/>
      <c r="F34" s="75" t="n"/>
      <c r="G34" s="74" t="n"/>
    </row>
    <row r="35" ht="35.25" customHeight="1">
      <c r="B35" s="48" t="inlineStr">
        <is>
          <t xml:space="preserve"> 7 - 9</t>
        </is>
      </c>
      <c r="C35" s="48" t="inlineStr">
        <is>
          <t>Alta</t>
        </is>
      </c>
      <c r="D35" s="4" t="inlineStr">
        <is>
          <t>Risco geralmente não aceitável: Há boa probabilidade de causar algum dano, problema ou falha em controles. Planos de ação devem ser desenvolvidos com prioridade alta para baixar a classificação do risco. Devem ser endereçados responsáveis qualificados e que respondam e  monitorem ativamente o risco. Planos de ação deverão ser estabelecidos e alinhados com a diretoria da ABC PLACE.</t>
        </is>
      </c>
      <c r="E35" s="75" t="n"/>
      <c r="F35" s="75" t="n"/>
      <c r="G35" s="74" t="n"/>
    </row>
    <row r="36" ht="39.75" customHeight="1">
      <c r="B36" s="48" t="inlineStr">
        <is>
          <t xml:space="preserve"> 3 - 6</t>
        </is>
      </c>
      <c r="C36" s="48" t="inlineStr">
        <is>
          <t>Moderada</t>
        </is>
      </c>
      <c r="D36" s="4" t="inlineStr">
        <is>
          <t>Risco possivelmente aceitável: Improvável que cause algum dano ou ameace a eficiência ou eficácia de uma atividade. Devem ser criados planos de mitigação para baixar seu risco, porém sem necessidade de implementação imediata. Deve ser monitorado com frequência por equipes específicas.</t>
        </is>
      </c>
      <c r="E36" s="75" t="n"/>
      <c r="F36" s="75" t="n"/>
      <c r="G36" s="74" t="n"/>
    </row>
    <row r="37" ht="36.75" customHeight="1">
      <c r="B37" s="48" t="inlineStr">
        <is>
          <t>&lt; 3</t>
        </is>
      </c>
      <c r="C37" s="48" t="inlineStr">
        <is>
          <t>Baixa</t>
        </is>
      </c>
      <c r="D37" s="4" t="inlineStr">
        <is>
          <t>Risco aceitável: Risco já adequadamente endereçado ou de baixa importância mesmo se exposto. Deverá ser monitorado e revisado periodicamente para atestar classificação.</t>
        </is>
      </c>
      <c r="E37" s="75" t="n"/>
      <c r="F37" s="75" t="n"/>
      <c r="G37" s="74" t="n"/>
    </row>
  </sheetData>
  <mergeCells count="10">
    <mergeCell ref="B23:E23"/>
    <mergeCell ref="C3:F3"/>
    <mergeCell ref="D35:G35"/>
    <mergeCell ref="D36:G36"/>
    <mergeCell ref="B31:G31"/>
    <mergeCell ref="B15:E15"/>
    <mergeCell ref="D33:G33"/>
    <mergeCell ref="D34:G34"/>
    <mergeCell ref="B1:F1"/>
    <mergeCell ref="D37:G37"/>
  </mergeCells>
  <pageMargins left="0.511805555555555" right="0.511805555555555" top="0.7875" bottom="0.7875" header="0.511805555555555" footer="0.511805555555555"/>
  <pageSetup orientation="portrait" paperSize="9" firstPageNumber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N83"/>
  <sheetViews>
    <sheetView showGridLines="0" topLeftCell="N2" zoomScale="119" zoomScaleNormal="119" workbookViewId="0">
      <selection activeCell="N10" sqref="N10"/>
    </sheetView>
  </sheetViews>
  <sheetFormatPr baseColWidth="10" defaultColWidth="8.6640625" defaultRowHeight="15"/>
  <cols>
    <col width="3.83203125" customWidth="1" style="25" min="1" max="1"/>
    <col width="6.6640625" customWidth="1" style="25" min="2" max="2"/>
    <col width="15.5" customWidth="1" style="25" min="3" max="3"/>
    <col width="17" customWidth="1" style="25" min="4" max="4"/>
    <col width="42.83203125" customWidth="1" style="25" min="5" max="5"/>
    <col width="21.6640625" customWidth="1" style="25" min="6" max="6"/>
    <col width="45" customWidth="1" style="25" min="7" max="7"/>
    <col width="37.83203125" customWidth="1" style="25" min="8" max="8"/>
    <col width="9.33203125" customWidth="1" style="25" min="9" max="9"/>
    <col width="14.83203125" customWidth="1" style="49" min="10" max="12"/>
    <col width="16.33203125" customWidth="1" style="49" min="13" max="13"/>
    <col width="116.33203125" customWidth="1" style="25" min="14" max="14"/>
    <col width="8.6640625" customWidth="1" style="25" min="15" max="1020"/>
    <col width="11.5" customWidth="1" min="1021" max="1024"/>
  </cols>
  <sheetData>
    <row r="3" ht="13.75" customHeight="1">
      <c r="B3" s="3" t="inlineStr">
        <is>
          <t>Nome do Projeto:</t>
        </is>
      </c>
      <c r="C3" s="78" t="n"/>
      <c r="D3" s="50" t="inlineStr">
        <is>
          <t>ABC PLACE - Avaliação de Riscos Cibernéticos 2026</t>
        </is>
      </c>
      <c r="E3" s="78" t="n"/>
      <c r="F3" s="51" t="n"/>
      <c r="G3" s="51" t="n"/>
    </row>
    <row r="4" ht="12" customHeight="1">
      <c r="B4" s="3" t="inlineStr">
        <is>
          <t>Responsáveis:</t>
        </is>
      </c>
      <c r="C4" s="78" t="n"/>
      <c r="D4" s="50" t="inlineStr">
        <is>
          <t>Equipe de Segurança da Informação</t>
        </is>
      </c>
      <c r="E4" s="78" t="n"/>
      <c r="F4" s="51" t="n"/>
      <c r="G4" s="51" t="n"/>
    </row>
    <row r="5" ht="12.75" customHeight="1">
      <c r="B5" s="1" t="inlineStr">
        <is>
          <t>Versão:</t>
        </is>
      </c>
      <c r="C5" s="78" t="n"/>
      <c r="D5" s="50" t="inlineStr">
        <is>
          <t>1.0</t>
        </is>
      </c>
      <c r="E5" s="78" t="n"/>
      <c r="F5" s="51" t="n"/>
      <c r="G5" s="51" t="n"/>
    </row>
    <row r="6">
      <c r="B6" s="3" t="inlineStr">
        <is>
          <t>Última Atualização:</t>
        </is>
      </c>
      <c r="C6" s="78" t="n"/>
      <c r="D6" s="72" t="inlineStr">
        <is>
          <t>30/03/2026</t>
        </is>
      </c>
      <c r="E6" s="78" t="n"/>
      <c r="F6" s="52" t="n"/>
      <c r="G6" s="52" t="n"/>
    </row>
    <row r="8">
      <c r="J8" s="73" t="inlineStr">
        <is>
          <t>Risco Original</t>
        </is>
      </c>
      <c r="K8" s="77" t="n"/>
      <c r="L8" s="77" t="n"/>
      <c r="M8" s="78" t="n"/>
      <c r="N8" s="49" t="n"/>
    </row>
    <row r="9">
      <c r="B9" s="54" t="inlineStr">
        <is>
          <t>ID</t>
        </is>
      </c>
      <c r="C9" s="54" t="inlineStr">
        <is>
          <t>Tipo</t>
        </is>
      </c>
      <c r="D9" s="54" t="inlineStr">
        <is>
          <t>ITEM</t>
        </is>
      </c>
      <c r="E9" s="54" t="inlineStr">
        <is>
          <t>Ameaças</t>
        </is>
      </c>
      <c r="F9" s="54" t="inlineStr">
        <is>
          <t>Ameaça detectada</t>
        </is>
      </c>
      <c r="G9" s="54" t="inlineStr">
        <is>
          <t>Vulnerabilidade detectada</t>
        </is>
      </c>
      <c r="H9" s="54" t="inlineStr">
        <is>
          <t>Resultado da exploração</t>
        </is>
      </c>
      <c r="I9" s="54" t="inlineStr">
        <is>
          <t>C/I/D</t>
        </is>
      </c>
      <c r="J9" s="73" t="inlineStr">
        <is>
          <t>Probabilidade</t>
        </is>
      </c>
      <c r="K9" s="73" t="inlineStr">
        <is>
          <t>Impacto</t>
        </is>
      </c>
      <c r="L9" s="73" t="inlineStr">
        <is>
          <t>Risco</t>
        </is>
      </c>
      <c r="M9" s="73" t="inlineStr">
        <is>
          <t>Classificação</t>
        </is>
      </c>
      <c r="N9" s="55" t="inlineStr">
        <is>
          <t>Medidas Mitigatórias</t>
        </is>
      </c>
    </row>
    <row r="10">
      <c r="B10" s="56" t="n">
        <v>1</v>
      </c>
      <c r="C10" s="57" t="inlineStr">
        <is>
          <t>Infraestrutura de TI</t>
        </is>
      </c>
      <c r="D10" s="57" t="inlineStr">
        <is>
          <t>Servidores / Rede</t>
        </is>
      </c>
      <c r="E10" s="58" t="inlineStr">
        <is>
          <t>Negação de Serviço (DoS/DDoS)</t>
        </is>
      </c>
      <c r="F10" s="58" t="inlineStr">
        <is>
          <t>Entrevista / Análise técnica</t>
        </is>
      </c>
      <c r="G10" s="58" t="inlineStr">
        <is>
          <t>Ausência de firewall e WAF; sem política de limitação de conexões; servidor exposto diretamente à internet</t>
        </is>
      </c>
      <c r="H10" s="59" t="inlineStr">
        <is>
          <t>Plataforma de vendas totalmente indisponível; perda de receita; danos reputacionais</t>
        </is>
      </c>
      <c r="I10" s="60" t="inlineStr">
        <is>
          <t>D</t>
        </is>
      </c>
      <c r="J10" s="60" t="n">
        <v>4</v>
      </c>
      <c r="K10" s="60" t="n">
        <v>4</v>
      </c>
      <c r="L10" s="60">
        <f>J10*K10</f>
        <v/>
      </c>
      <c r="M10" s="60">
        <f>IF(L10&gt;9,"Extremo",IF(L10&gt;7,"Alto",IF(L10&gt;3,"Moderado","Baixo")))</f>
        <v/>
      </c>
      <c r="N10" s="61" t="inlineStr">
        <is>
          <t>Implementar WAF (Web Application Firewall) e proteção anti-DDoS (ex: Cloudflare); configurar regras de firewall de perímetro; definir limites de requisições (rate limiting)</t>
        </is>
      </c>
    </row>
    <row r="11">
      <c r="B11" s="56">
        <f>B10+1</f>
        <v/>
      </c>
      <c r="C11" s="57" t="inlineStr">
        <is>
          <t>Infraestrutura de TI</t>
        </is>
      </c>
      <c r="D11" s="57" t="inlineStr">
        <is>
          <t>Servidores</t>
        </is>
      </c>
      <c r="E11" s="58" t="inlineStr">
        <is>
          <t>Malware / Ransomware</t>
        </is>
      </c>
      <c r="F11" s="58" t="inlineStr">
        <is>
          <t>Entrevista</t>
        </is>
      </c>
      <c r="G11" s="62" t="inlineStr">
        <is>
          <t>Ausência de antivírus/EDR; sem hardening; configurações padrão nos servidores; sem monitoramento de segurança</t>
        </is>
      </c>
      <c r="H11" s="59" t="inlineStr">
        <is>
          <t>Criptografia de dados e indisponibilidade total do sistema; pagamento de resgate; perda permanente de dados</t>
        </is>
      </c>
      <c r="I11" s="60" t="inlineStr">
        <is>
          <t>C / I / D</t>
        </is>
      </c>
      <c r="J11" s="60" t="n">
        <v>4</v>
      </c>
      <c r="K11" s="60" t="n">
        <v>4</v>
      </c>
      <c r="L11" s="60">
        <f>J11*K11</f>
        <v/>
      </c>
      <c r="M11" s="60">
        <f>IF(L11&gt;9,"Extremo",IF(L11&gt;7,"Alto",IF(L11&gt;3,"Moderado","Baixo")))</f>
        <v/>
      </c>
      <c r="N11" s="60" t="inlineStr">
        <is>
          <t>Implantar EDR/antivírus corporativo; aplicar hardening nos servidores (CIS Benchmark); configurar backups offsite e testados; implementar SIEM para detecção de comportamento anômalo</t>
        </is>
      </c>
    </row>
    <row r="12">
      <c r="B12" s="56">
        <f>B11+1</f>
        <v/>
      </c>
      <c r="C12" s="57" t="inlineStr">
        <is>
          <t>Aplicação</t>
        </is>
      </c>
      <c r="D12" s="57" t="inlineStr">
        <is>
          <t>Plataforma WooCommerce</t>
        </is>
      </c>
      <c r="E12" s="62" t="inlineStr">
        <is>
          <t>Injeção de Código (SQLi / XSS)</t>
        </is>
      </c>
      <c r="F12" s="62" t="inlineStr">
        <is>
          <t>Análise técnica</t>
        </is>
      </c>
      <c r="G12" s="62" t="inlineStr">
        <is>
          <t>Aplicação e banco de dados no mesmo servidor; ausência de WAF; sem validação/sanitização de entrada de dados</t>
        </is>
      </c>
      <c r="H12" s="59" t="inlineStr">
        <is>
          <t>Acesso não autorizado ao banco de dados; exfiltração de dados de clientes (CPF, cartões); defacement da loja</t>
        </is>
      </c>
      <c r="I12" s="60" t="inlineStr">
        <is>
          <t>C / I</t>
        </is>
      </c>
      <c r="J12" s="60" t="n">
        <v>4</v>
      </c>
      <c r="K12" s="60" t="n">
        <v>4</v>
      </c>
      <c r="L12" s="60">
        <f>J12*K12</f>
        <v/>
      </c>
      <c r="M12" s="60">
        <f>IF(L12&gt;9,"Extremo",IF(L12&gt;7,"Alto",IF(L12&gt;3,"Moderado","Baixo")))</f>
        <v/>
      </c>
      <c r="N12" s="60" t="inlineStr">
        <is>
          <t>Separar aplicação e banco de dados em servidores distintos; implantar WAF; realizar análise de código e pentest; atualizar WooCommerce e plugins regularmente</t>
        </is>
      </c>
    </row>
    <row r="13">
      <c r="B13" s="56">
        <f>B12+1</f>
        <v/>
      </c>
      <c r="C13" s="57" t="inlineStr">
        <is>
          <t>Gestão de Usuários</t>
        </is>
      </c>
      <c r="D13" s="57" t="inlineStr">
        <is>
          <t>Controle de Acesso</t>
        </is>
      </c>
      <c r="E13" s="63" t="inlineStr">
        <is>
          <t>Ameaça Interna (Insider Threat) / Hacking Interno</t>
        </is>
      </c>
      <c r="F13" s="63" t="inlineStr">
        <is>
          <t>Entrevista</t>
        </is>
      </c>
      <c r="G13" s="64" t="inlineStr">
        <is>
          <t>Uso de usuários 'administrator' e 'root' compartilhados; sem MFA; sem segregação de funções; sem princípio do menor privilégio</t>
        </is>
      </c>
      <c r="H13" s="59" t="inlineStr">
        <is>
          <t>Alteração ou destruição de dados críticos; instalação de backdoors; exfiltração de informações confidenciais</t>
        </is>
      </c>
      <c r="I13" s="60" t="inlineStr">
        <is>
          <t>C / I / D</t>
        </is>
      </c>
      <c r="J13" s="60" t="n">
        <v>3</v>
      </c>
      <c r="K13" s="60" t="n">
        <v>4</v>
      </c>
      <c r="L13" s="60">
        <f>J13*K13</f>
        <v/>
      </c>
      <c r="M13" s="60">
        <f>IF(L13&gt;9,"Extremo",IF(L13&gt;7,"Alto",IF(L13&gt;3,"Moderado","Baixo")))</f>
        <v/>
      </c>
      <c r="N13" s="57" t="inlineStr">
        <is>
          <t>Implementar princípio do menor privilégio; criar contas individuais para cada administrador; habilitar MFA; auditar logs de acesso; implementar PAM (Privileged Access Management)</t>
        </is>
      </c>
    </row>
    <row r="14">
      <c r="B14" s="56">
        <f>B13+1</f>
        <v/>
      </c>
      <c r="C14" s="57" t="inlineStr">
        <is>
          <t>Rede</t>
        </is>
      </c>
      <c r="D14" s="57" t="inlineStr">
        <is>
          <t>Comunicações / Acesso Remoto</t>
        </is>
      </c>
      <c r="E14" s="58" t="inlineStr">
        <is>
          <t>Interceptação de Dados (Eavesdropping / MITM)</t>
        </is>
      </c>
      <c r="F14" s="58" t="inlineStr">
        <is>
          <t>Entrevista</t>
        </is>
      </c>
      <c r="G14" s="62" t="inlineStr">
        <is>
          <t>Acesso aos servidores realizado sem VPN; tráfego administrativo sem criptografia; risco de captura de credenciais em trânsito</t>
        </is>
      </c>
      <c r="H14" s="59" t="inlineStr">
        <is>
          <t>Captura de credenciais de acesso, CPF, dados de cartões de crédito e conversas sigilosas por atacante posicionado na rede</t>
        </is>
      </c>
      <c r="I14" s="60" t="inlineStr">
        <is>
          <t>C</t>
        </is>
      </c>
      <c r="J14" s="60" t="n">
        <v>3</v>
      </c>
      <c r="K14" s="60" t="n">
        <v>4</v>
      </c>
      <c r="L14" s="60">
        <f>J14*K14</f>
        <v/>
      </c>
      <c r="M14" s="60">
        <f>IF(L14&gt;9,"Extremo",IF(L14&gt;7,"Alto",IF(L14&gt;3,"Moderado","Baixo")))</f>
        <v/>
      </c>
      <c r="N14" s="60" t="inlineStr">
        <is>
          <t>Implantar VPN para todo acesso remoto aos servidores; garantir TLS/HTTPS em todos os serviços; utilizar SSH com chaves ao invés de senhas</t>
        </is>
      </c>
    </row>
    <row r="15">
      <c r="B15" s="56">
        <f>B14+1</f>
        <v/>
      </c>
      <c r="C15" s="57" t="inlineStr">
        <is>
          <t>Dados / Informação</t>
        </is>
      </c>
      <c r="D15" s="57" t="inlineStr">
        <is>
          <t>Banco de Dados</t>
        </is>
      </c>
      <c r="E15" s="63" t="inlineStr">
        <is>
          <t>Comprometimento de Informações Sensíveis</t>
        </is>
      </c>
      <c r="F15" s="63" t="inlineStr">
        <is>
          <t>Análise técnica / Entrevista</t>
        </is>
      </c>
      <c r="G15" s="50" t="inlineStr">
        <is>
          <t>Banco de dados no mesmo servidor da aplicação; sem criptografia em repouso; sem política de backup e recuperação; sem gestão de vulnerabilidades</t>
        </is>
      </c>
      <c r="H15" s="59" t="inlineStr">
        <is>
          <t>Vazamento massivo de dados de clientes; violação da LGPD; multas regulatórias; processos judiciais; grave dano reputacional</t>
        </is>
      </c>
      <c r="I15" s="57" t="inlineStr">
        <is>
          <t>C / I</t>
        </is>
      </c>
      <c r="J15" s="57" t="n">
        <v>3</v>
      </c>
      <c r="K15" s="57" t="n">
        <v>4</v>
      </c>
      <c r="L15" s="57">
        <f>J15*K15</f>
        <v/>
      </c>
      <c r="M15" s="57">
        <f>IF(L15&gt;9,"Extremo",IF(L15&gt;7,"Alto",IF(L15&gt;3,"Moderado","Baixo")))</f>
        <v/>
      </c>
      <c r="N15" s="57" t="inlineStr">
        <is>
          <t>Separar o SGBD da aplicação; implementar criptografia em repouso e em trânsito; definir política de backup com testes de restauração; mapear e classificar os dados sensíveis</t>
        </is>
      </c>
    </row>
    <row r="16">
      <c r="B16" s="56">
        <f>B15+1</f>
        <v/>
      </c>
      <c r="C16" s="57" t="inlineStr">
        <is>
          <t>Infraestrutura de TI</t>
        </is>
      </c>
      <c r="D16" s="57" t="inlineStr">
        <is>
          <t>Dispositivos de Rede / Servidores</t>
        </is>
      </c>
      <c r="E16" s="58" t="inlineStr">
        <is>
          <t>Acesso Não Autorizado (Brute Force / Default Credentials)</t>
        </is>
      </c>
      <c r="F16" s="58" t="inlineStr">
        <is>
          <t>Entrevista</t>
        </is>
      </c>
      <c r="G16" s="62" t="inlineStr">
        <is>
          <t>Dispositivos e servidores com configurações padrão; sem política de senhas fortes; sem bloqueio após tentativas de login; sem hardening</t>
        </is>
      </c>
      <c r="H16" s="59" t="inlineStr">
        <is>
          <t>Controle total dos servidores por atacante externo; pivô para comprometer toda a infraestrutura</t>
        </is>
      </c>
      <c r="I16" s="60" t="inlineStr">
        <is>
          <t>C / I / D</t>
        </is>
      </c>
      <c r="J16" s="60" t="n">
        <v>4</v>
      </c>
      <c r="K16" s="60" t="n">
        <v>4</v>
      </c>
      <c r="L16" s="60">
        <f>J16*K16</f>
        <v/>
      </c>
      <c r="M16" s="60">
        <f>IF(L16&gt;9,"Extremo",IF(L16&gt;7,"Alto",IF(L16&gt;3,"Moderado","Baixo")))</f>
        <v/>
      </c>
      <c r="N16" s="60" t="inlineStr">
        <is>
          <t>Alterar todas as credenciais padrão imediatamente; implementar política de senhas fortes e rotação; bloquear tentativas repetidas de login; aplicar hardening conforme CIS Benchmark</t>
        </is>
      </c>
    </row>
    <row r="17">
      <c r="B17" s="56">
        <f>B16+1</f>
        <v/>
      </c>
      <c r="C17" s="57" t="inlineStr">
        <is>
          <t>Operações de Segurança</t>
        </is>
      </c>
      <c r="D17" s="57" t="inlineStr">
        <is>
          <t>Monitoramento</t>
        </is>
      </c>
      <c r="E17" s="62" t="inlineStr">
        <is>
          <t>Persistência de Atacante Não Detectada</t>
        </is>
      </c>
      <c r="F17" s="62" t="inlineStr">
        <is>
          <t>Entrevista</t>
        </is>
      </c>
      <c r="G17" s="62" t="inlineStr">
        <is>
          <t>Ausência de ferramentas de monitoramento (SIEM, IDS/IPS); sem logs centralizados; sem alertas de segurança; sem análise do estado da rede</t>
        </is>
      </c>
      <c r="H17" s="59" t="inlineStr">
        <is>
          <t>Atacante permanece na infraestrutura por semanas ou meses sem detecção; comprometimento progressivo de todos os sistemas</t>
        </is>
      </c>
      <c r="I17" s="60" t="inlineStr">
        <is>
          <t>C / I / D</t>
        </is>
      </c>
      <c r="J17" s="60" t="n">
        <v>4</v>
      </c>
      <c r="K17" s="60" t="n">
        <v>3</v>
      </c>
      <c r="L17" s="60">
        <f>J17*K17</f>
        <v/>
      </c>
      <c r="M17" s="60">
        <f>IF(L17&gt;9,"Extremo",IF(L17&gt;7,"Alto",IF(L17&gt;3,"Moderado","Baixo")))</f>
        <v/>
      </c>
      <c r="N17" s="60" t="inlineStr">
        <is>
          <t>Implantar solução de monitoramento (SIEM); configurar IDS/IPS; centralizar logs; definir processo de resposta a incidentes; realizar análise periódica do estado da rede</t>
        </is>
      </c>
    </row>
    <row r="18">
      <c r="B18" s="56">
        <f>B17+1</f>
        <v/>
      </c>
      <c r="C18" s="57" t="n"/>
      <c r="D18" s="57" t="n"/>
      <c r="E18" s="58" t="n"/>
      <c r="F18" s="58" t="n"/>
      <c r="G18" s="62" t="n"/>
      <c r="H18" s="59" t="n"/>
      <c r="I18" s="60" t="n"/>
      <c r="J18" s="60" t="n"/>
      <c r="K18" s="60" t="n"/>
      <c r="L18" s="60">
        <f>J18*K18</f>
        <v/>
      </c>
      <c r="M18" s="60">
        <f>IF(L18&gt;9,"Extremo",IF(L18&gt;7,"Alto",IF(L18&gt;3,"Moderado","Baixo")))</f>
        <v/>
      </c>
      <c r="N18" s="60" t="n"/>
    </row>
    <row r="19">
      <c r="B19" s="56">
        <f>B18+1</f>
        <v/>
      </c>
      <c r="C19" s="57" t="n"/>
      <c r="D19" s="57" t="n"/>
      <c r="E19" s="58" t="n"/>
      <c r="F19" s="58" t="n"/>
      <c r="G19" s="62" t="n"/>
      <c r="H19" s="59" t="n"/>
      <c r="I19" s="60" t="n"/>
      <c r="J19" s="60" t="n"/>
      <c r="K19" s="60" t="n"/>
      <c r="L19" s="60">
        <f>J19*K19</f>
        <v/>
      </c>
      <c r="M19" s="60">
        <f>IF(L19&gt;9,"Extremo",IF(L19&gt;7,"Alto",IF(L19&gt;3,"Moderado","Baixo")))</f>
        <v/>
      </c>
      <c r="N19" s="60" t="n"/>
    </row>
    <row r="20">
      <c r="B20" s="56">
        <f>B19+1</f>
        <v/>
      </c>
      <c r="C20" s="57" t="n"/>
      <c r="D20" s="57" t="n"/>
      <c r="E20" s="58" t="n"/>
      <c r="F20" s="58" t="n"/>
      <c r="G20" s="62" t="n"/>
      <c r="H20" s="59" t="n"/>
      <c r="I20" s="60" t="n"/>
      <c r="J20" s="60" t="n"/>
      <c r="K20" s="60" t="n"/>
      <c r="L20" s="60">
        <f>J20*K20</f>
        <v/>
      </c>
      <c r="M20" s="60">
        <f>IF(L20&gt;9,"Extremo",IF(L20&gt;7,"Alto",IF(L20&gt;3,"Moderado","Baixo")))</f>
        <v/>
      </c>
      <c r="N20" s="60" t="n"/>
    </row>
    <row r="21">
      <c r="B21" s="56">
        <f>B20+1</f>
        <v/>
      </c>
      <c r="C21" s="57" t="n"/>
      <c r="D21" s="57" t="n"/>
      <c r="E21" s="64" t="n"/>
      <c r="F21" s="64" t="n"/>
      <c r="G21" s="62" t="n"/>
      <c r="H21" s="59" t="n"/>
      <c r="I21" s="60" t="n"/>
      <c r="J21" s="60" t="n"/>
      <c r="K21" s="60" t="n"/>
      <c r="L21" s="60">
        <f>J21*K21</f>
        <v/>
      </c>
      <c r="M21" s="60">
        <f>IF(L21&gt;9,"Extremo",IF(L21&gt;7,"Alto",IF(L21&gt;3,"Moderado","Baixo")))</f>
        <v/>
      </c>
      <c r="N21" s="60" t="n"/>
    </row>
    <row r="22">
      <c r="B22" s="56">
        <f>B21+1</f>
        <v/>
      </c>
      <c r="C22" s="57" t="n"/>
      <c r="D22" s="57" t="n"/>
      <c r="E22" s="59" t="n"/>
      <c r="F22" s="59" t="n"/>
      <c r="G22" s="64" t="n"/>
      <c r="H22" s="59" t="n"/>
      <c r="I22" s="60" t="n"/>
      <c r="J22" s="60" t="n"/>
      <c r="K22" s="60" t="n"/>
      <c r="L22" s="60">
        <f>J22*K22</f>
        <v/>
      </c>
      <c r="M22" s="60">
        <f>IF(L22&gt;9,"Extremo",IF(L22&gt;7,"Alto",IF(L22&gt;3,"Moderado","Baixo")))</f>
        <v/>
      </c>
      <c r="N22" s="57" t="n"/>
    </row>
    <row r="23">
      <c r="B23" s="56">
        <f>B22+1</f>
        <v/>
      </c>
      <c r="C23" s="57" t="n"/>
      <c r="D23" s="57" t="n"/>
      <c r="E23" s="62" t="n"/>
      <c r="F23" s="62" t="n"/>
      <c r="G23" s="62" t="n"/>
      <c r="H23" s="59" t="n"/>
      <c r="I23" s="60" t="n"/>
      <c r="J23" s="60" t="n"/>
      <c r="K23" s="60" t="n"/>
      <c r="L23" s="60">
        <f>J23*K23</f>
        <v/>
      </c>
      <c r="M23" s="60">
        <f>IF(L23&gt;9,"Extremo",IF(L23&gt;7,"Alto",IF(L23&gt;3,"Moderado","Baixo")))</f>
        <v/>
      </c>
      <c r="N23" s="60" t="n"/>
    </row>
    <row r="24">
      <c r="B24" s="56">
        <f>B23+1</f>
        <v/>
      </c>
      <c r="C24" s="57" t="n"/>
      <c r="D24" s="57" t="n"/>
      <c r="E24" s="58" t="n"/>
      <c r="F24" s="58" t="n"/>
      <c r="G24" s="58" t="n"/>
      <c r="H24" s="59" t="n"/>
      <c r="I24" s="60" t="n"/>
      <c r="J24" s="60" t="n"/>
      <c r="K24" s="60" t="n"/>
      <c r="L24" s="60">
        <f>J24*K24</f>
        <v/>
      </c>
      <c r="M24" s="60">
        <f>IF(L24&gt;9,"Extremo",IF(L24&gt;7,"Alto",IF(L24&gt;3,"Moderado","Baixo")))</f>
        <v/>
      </c>
      <c r="N24" s="60" t="n"/>
    </row>
    <row r="25">
      <c r="B25" s="56">
        <f>B24+1</f>
        <v/>
      </c>
      <c r="C25" s="57" t="n"/>
      <c r="D25" s="57" t="n"/>
      <c r="E25" s="62" t="n"/>
      <c r="F25" s="62" t="n"/>
      <c r="G25" s="58" t="n"/>
      <c r="H25" s="59" t="n"/>
      <c r="I25" s="60" t="n"/>
      <c r="J25" s="60" t="n"/>
      <c r="K25" s="60" t="n"/>
      <c r="L25" s="60">
        <f>J25*K25</f>
        <v/>
      </c>
      <c r="M25" s="60">
        <f>IF(L25&gt;9,"Extremo",IF(L25&gt;7,"Alto",IF(L25&gt;3,"Moderado","Baixo")))</f>
        <v/>
      </c>
      <c r="N25" s="60" t="n"/>
    </row>
    <row r="26">
      <c r="B26" s="56">
        <f>B25+1</f>
        <v/>
      </c>
      <c r="C26" s="57" t="n"/>
      <c r="D26" s="57" t="n"/>
      <c r="E26" s="62" t="n"/>
      <c r="F26" s="62" t="n"/>
      <c r="G26" s="50" t="n"/>
      <c r="H26" s="59" t="n"/>
      <c r="I26" s="60" t="n"/>
      <c r="J26" s="60" t="n"/>
      <c r="K26" s="60" t="n"/>
      <c r="L26" s="60">
        <f>J26*K26</f>
        <v/>
      </c>
      <c r="M26" s="60">
        <f>IF(L26&gt;9,"Extremo",IF(L26&gt;7,"Alto",IF(L26&gt;3,"Moderado","Baixo")))</f>
        <v/>
      </c>
      <c r="N26" s="60" t="n"/>
    </row>
    <row r="27">
      <c r="B27" s="56">
        <f>B26+1</f>
        <v/>
      </c>
      <c r="C27" s="57" t="n"/>
      <c r="D27" s="57" t="n"/>
      <c r="E27" s="58" t="n"/>
      <c r="F27" s="58" t="n"/>
      <c r="G27" s="58" t="n"/>
      <c r="H27" s="59" t="n"/>
      <c r="I27" s="60" t="n"/>
      <c r="J27" s="60" t="n"/>
      <c r="K27" s="60" t="n"/>
      <c r="L27" s="60">
        <f>J27*K27</f>
        <v/>
      </c>
      <c r="M27" s="60">
        <f>IF(L27&gt;9,"Extremo",IF(L27&gt;7,"Alto",IF(L27&gt;3,"Moderado","Baixo")))</f>
        <v/>
      </c>
      <c r="N27" s="60" t="n"/>
    </row>
    <row r="28">
      <c r="B28" s="56">
        <f>B27+1</f>
        <v/>
      </c>
      <c r="C28" s="57" t="n"/>
      <c r="D28" s="57" t="n"/>
      <c r="E28" s="58" t="n"/>
      <c r="F28" s="58" t="n"/>
      <c r="G28" s="64" t="n"/>
      <c r="H28" s="59" t="n"/>
      <c r="I28" s="60" t="n"/>
      <c r="J28" s="60" t="n"/>
      <c r="K28" s="60" t="n"/>
      <c r="L28" s="60">
        <f>J28*K28</f>
        <v/>
      </c>
      <c r="M28" s="60">
        <f>IF(L28&gt;9,"Extremo",IF(L28&gt;7,"Alto",IF(L28&gt;3,"Moderado","Baixo")))</f>
        <v/>
      </c>
      <c r="N28" s="60" t="n"/>
    </row>
    <row r="29">
      <c r="B29" s="56">
        <f>B28+1</f>
        <v/>
      </c>
      <c r="C29" s="57" t="n"/>
      <c r="D29" s="57" t="n"/>
      <c r="E29" s="62" t="n"/>
      <c r="F29" s="62" t="n"/>
      <c r="G29" s="64" t="n"/>
      <c r="H29" s="59" t="n"/>
      <c r="I29" s="60" t="n"/>
      <c r="J29" s="60" t="n"/>
      <c r="K29" s="60" t="n"/>
      <c r="L29" s="60">
        <f>J29*K29</f>
        <v/>
      </c>
      <c r="M29" s="60">
        <f>IF(L29&gt;9,"Extremo",IF(L29&gt;7,"Alto",IF(L29&gt;3,"Moderado","Baixo")))</f>
        <v/>
      </c>
      <c r="N29" s="60" t="n"/>
    </row>
    <row r="30">
      <c r="B30" s="56">
        <f>B29+1</f>
        <v/>
      </c>
      <c r="C30" s="57" t="n"/>
      <c r="D30" s="57" t="n"/>
      <c r="E30" s="62" t="n"/>
      <c r="F30" s="62" t="n"/>
      <c r="G30" s="64" t="n"/>
      <c r="H30" s="59" t="n"/>
      <c r="I30" s="60" t="n"/>
      <c r="J30" s="60" t="n"/>
      <c r="K30" s="60" t="n"/>
      <c r="L30" s="60">
        <f>J30*K30</f>
        <v/>
      </c>
      <c r="M30" s="60">
        <f>IF(L30&gt;9,"Extremo",IF(L30&gt;7,"Alto",IF(L30&gt;3,"Moderado","Baixo")))</f>
        <v/>
      </c>
      <c r="N30" s="60" t="n"/>
    </row>
    <row r="31">
      <c r="B31" s="56">
        <f>B30+1</f>
        <v/>
      </c>
      <c r="C31" s="57" t="n"/>
      <c r="D31" s="57" t="n"/>
      <c r="E31" s="59" t="n"/>
      <c r="F31" s="59" t="n"/>
      <c r="G31" s="65" t="n"/>
      <c r="H31" s="59" t="n"/>
      <c r="I31" s="60" t="n"/>
      <c r="J31" s="60" t="n"/>
      <c r="K31" s="60" t="n"/>
      <c r="L31" s="60">
        <f>J31*K31</f>
        <v/>
      </c>
      <c r="M31" s="60">
        <f>IF(L31&gt;9,"Extremo",IF(L31&gt;7,"Alto",IF(L31&gt;3,"Moderado","Baixo")))</f>
        <v/>
      </c>
      <c r="N31" s="57" t="n"/>
    </row>
    <row r="32">
      <c r="B32" s="56">
        <f>B31+1</f>
        <v/>
      </c>
      <c r="C32" s="57" t="n"/>
      <c r="D32" s="57" t="n"/>
      <c r="E32" s="62" t="n"/>
      <c r="F32" s="62" t="n"/>
      <c r="G32" s="62" t="n"/>
      <c r="H32" s="59" t="n"/>
      <c r="I32" s="60" t="n"/>
      <c r="J32" s="60" t="n"/>
      <c r="K32" s="60" t="n"/>
      <c r="L32" s="60">
        <f>J32*K32</f>
        <v/>
      </c>
      <c r="M32" s="60">
        <f>IF(L32&gt;9,"Extremo",IF(L32&gt;7,"Alto",IF(L32&gt;3,"Moderado","Baixo")))</f>
        <v/>
      </c>
      <c r="N32" s="60" t="n"/>
    </row>
    <row r="33">
      <c r="B33" s="56">
        <f>B32+1</f>
        <v/>
      </c>
      <c r="C33" s="57" t="n"/>
      <c r="D33" s="57" t="n"/>
      <c r="E33" s="62" t="n"/>
      <c r="F33" s="62" t="n"/>
      <c r="G33" s="62" t="n"/>
      <c r="H33" s="59" t="n"/>
      <c r="I33" s="60" t="n"/>
      <c r="J33" s="60" t="n"/>
      <c r="K33" s="60" t="n"/>
      <c r="L33" s="60">
        <f>J33*K33</f>
        <v/>
      </c>
      <c r="M33" s="60">
        <f>IF(L33&gt;9,"Extremo",IF(L33&gt;7,"Alto",IF(L33&gt;3,"Moderado","Baixo")))</f>
        <v/>
      </c>
      <c r="N33" s="60" t="n"/>
    </row>
    <row r="34">
      <c r="B34" s="56">
        <f>B33+1</f>
        <v/>
      </c>
      <c r="C34" s="57" t="n"/>
      <c r="D34" s="57" t="n"/>
      <c r="E34" s="62" t="n"/>
      <c r="F34" s="62" t="n"/>
      <c r="G34" s="62" t="n"/>
      <c r="H34" s="59" t="n"/>
      <c r="I34" s="60" t="n"/>
      <c r="J34" s="60" t="n"/>
      <c r="K34" s="60" t="n"/>
      <c r="L34" s="60">
        <f>J34*K34</f>
        <v/>
      </c>
      <c r="M34" s="60">
        <f>IF(L34&gt;9,"Extremo",IF(L34&gt;7,"Alto",IF(L34&gt;3,"Moderado","Baixo")))</f>
        <v/>
      </c>
      <c r="N34" s="60" t="n"/>
    </row>
    <row r="35">
      <c r="B35" s="56">
        <f>B34+1</f>
        <v/>
      </c>
      <c r="C35" s="57" t="n"/>
      <c r="D35" s="57" t="n"/>
      <c r="E35" s="62" t="n"/>
      <c r="F35" s="62" t="n"/>
      <c r="G35" s="62" t="n"/>
      <c r="H35" s="59" t="n"/>
      <c r="I35" s="60" t="n"/>
      <c r="J35" s="60" t="n"/>
      <c r="K35" s="60" t="n"/>
      <c r="L35" s="60">
        <f>J35*K35</f>
        <v/>
      </c>
      <c r="M35" s="60">
        <f>IF(L35&gt;9,"Extremo",IF(L35&gt;7,"Alto",IF(L35&gt;3,"Moderado","Baixo")))</f>
        <v/>
      </c>
      <c r="N35" s="60" t="n"/>
    </row>
    <row r="36">
      <c r="B36" s="56">
        <f>B35+1</f>
        <v/>
      </c>
      <c r="C36" s="57" t="n"/>
      <c r="D36" s="57" t="n"/>
      <c r="E36" s="59" t="n"/>
      <c r="F36" s="59" t="n"/>
      <c r="G36" s="50" t="n"/>
      <c r="H36" s="59" t="n"/>
      <c r="I36" s="57" t="n"/>
      <c r="J36" s="57" t="n"/>
      <c r="K36" s="57" t="n"/>
      <c r="L36" s="57">
        <f>J36*K36</f>
        <v/>
      </c>
      <c r="M36" s="57">
        <f>IF(L36&gt;9,"Extremo",IF(L36&gt;7,"Alto",IF(L36&gt;3,"Moderado","Baixo")))</f>
        <v/>
      </c>
      <c r="N36" s="57" t="n"/>
    </row>
    <row r="37">
      <c r="B37" s="56">
        <f>B36+1</f>
        <v/>
      </c>
      <c r="C37" s="57" t="n"/>
      <c r="D37" s="57" t="n"/>
      <c r="E37" s="58" t="n"/>
      <c r="F37" s="58" t="n"/>
      <c r="G37" s="50" t="n"/>
      <c r="H37" s="59" t="n"/>
      <c r="I37" s="60" t="n"/>
      <c r="J37" s="60" t="n"/>
      <c r="K37" s="60" t="n"/>
      <c r="L37" s="60">
        <f>J37*K37</f>
        <v/>
      </c>
      <c r="M37" s="60">
        <f>IF(L37&gt;9,"Extremo",IF(L37&gt;7,"Alto",IF(L37&gt;3,"Moderado","Baixo")))</f>
        <v/>
      </c>
      <c r="N37" s="60" t="n"/>
    </row>
    <row r="38">
      <c r="B38" s="56">
        <f>B37+1</f>
        <v/>
      </c>
      <c r="C38" s="57" t="n"/>
      <c r="D38" s="57" t="n"/>
      <c r="E38" s="59" t="n"/>
      <c r="F38" s="59" t="n"/>
      <c r="G38" s="50" t="n"/>
      <c r="H38" s="59" t="n"/>
      <c r="I38" s="57" t="n"/>
      <c r="J38" s="57" t="n"/>
      <c r="K38" s="57" t="n"/>
      <c r="L38" s="57">
        <f>J38*K38</f>
        <v/>
      </c>
      <c r="M38" s="57">
        <f>IF(L38&gt;9,"Extremo",IF(L38&gt;7,"Alto",IF(L38&gt;3,"Moderado","Baixo")))</f>
        <v/>
      </c>
      <c r="N38" s="57" t="n"/>
    </row>
    <row r="39">
      <c r="B39" s="56">
        <f>B38+1</f>
        <v/>
      </c>
      <c r="C39" s="57" t="n"/>
      <c r="D39" s="57" t="n"/>
      <c r="E39" s="59" t="n"/>
      <c r="F39" s="62" t="n"/>
      <c r="G39" s="66" t="n"/>
      <c r="H39" s="59" t="n"/>
      <c r="I39" s="60" t="n"/>
      <c r="J39" s="60" t="n"/>
      <c r="K39" s="60" t="n"/>
      <c r="L39" s="60">
        <f>J39*K39</f>
        <v/>
      </c>
      <c r="M39" s="60">
        <f>IF(L39&gt;9,"Extremo",IF(L39&gt;7,"Alto",IF(L39&gt;3,"Moderado","Baixo")))</f>
        <v/>
      </c>
      <c r="N39" s="60" t="n"/>
    </row>
    <row r="40">
      <c r="B40" s="56">
        <f>B39+1</f>
        <v/>
      </c>
      <c r="C40" s="57" t="n"/>
      <c r="D40" s="57" t="n"/>
      <c r="E40" s="58" t="n"/>
      <c r="F40" s="58" t="n"/>
      <c r="G40" s="58" t="n"/>
      <c r="H40" s="59" t="n"/>
      <c r="I40" s="60" t="n"/>
      <c r="J40" s="60" t="n"/>
      <c r="K40" s="60" t="n"/>
      <c r="L40" s="60">
        <f>J40*K40</f>
        <v/>
      </c>
      <c r="M40" s="60">
        <f>IF(L40&gt;9,"Extremo",IF(L40&gt;7,"Alto",IF(L40&gt;3,"Moderado","Baixo")))</f>
        <v/>
      </c>
      <c r="N40" s="60" t="n"/>
    </row>
    <row r="41">
      <c r="B41" s="56">
        <f>B40+1</f>
        <v/>
      </c>
      <c r="C41" s="57" t="n"/>
      <c r="D41" s="57" t="n"/>
      <c r="E41" s="58" t="n"/>
      <c r="F41" s="58" t="n"/>
      <c r="G41" s="58" t="n"/>
      <c r="H41" s="59" t="n"/>
      <c r="I41" s="60" t="n"/>
      <c r="J41" s="60" t="n"/>
      <c r="K41" s="60" t="n"/>
      <c r="L41" s="60">
        <f>J41*K41</f>
        <v/>
      </c>
      <c r="M41" s="60">
        <f>IF(L41&gt;9,"Extremo",IF(L41&gt;7,"Alto",IF(L41&gt;3,"Moderado","Baixo")))</f>
        <v/>
      </c>
      <c r="N41" s="60" t="n"/>
    </row>
    <row r="42">
      <c r="B42" s="56">
        <f>B41+1</f>
        <v/>
      </c>
      <c r="C42" s="57" t="n"/>
      <c r="D42" s="57" t="n"/>
      <c r="E42" s="58" t="n"/>
      <c r="F42" s="58" t="n"/>
      <c r="G42" s="58" t="n"/>
      <c r="H42" s="59" t="n"/>
      <c r="I42" s="60" t="n"/>
      <c r="J42" s="60" t="n"/>
      <c r="K42" s="60" t="n"/>
      <c r="L42" s="60">
        <f>J42*K42</f>
        <v/>
      </c>
      <c r="M42" s="60">
        <f>IF(L42&gt;9,"Extremo",IF(L42&gt;7,"Alto",IF(L42&gt;3,"Moderado","Baixo")))</f>
        <v/>
      </c>
      <c r="N42" s="60" t="n"/>
    </row>
    <row r="43">
      <c r="B43" s="56">
        <f>B42+1</f>
        <v/>
      </c>
      <c r="C43" s="57" t="n"/>
      <c r="D43" s="57" t="n"/>
      <c r="E43" s="58" t="n"/>
      <c r="F43" s="58" t="n"/>
      <c r="G43" s="58" t="n"/>
      <c r="H43" s="59" t="n"/>
      <c r="I43" s="60" t="n"/>
      <c r="J43" s="60" t="n"/>
      <c r="K43" s="60" t="n"/>
      <c r="L43" s="60">
        <f>J43*K43</f>
        <v/>
      </c>
      <c r="M43" s="60">
        <f>IF(L43&gt;9,"Extremo",IF(L43&gt;7,"Alto",IF(L43&gt;3,"Moderado","Baixo")))</f>
        <v/>
      </c>
      <c r="N43" s="60" t="n"/>
    </row>
    <row r="44">
      <c r="B44" s="56">
        <f>B43+1</f>
        <v/>
      </c>
      <c r="C44" s="57" t="n"/>
      <c r="D44" s="57" t="n"/>
      <c r="E44" s="64" t="n"/>
      <c r="F44" s="64" t="n"/>
      <c r="G44" s="64" t="n"/>
      <c r="H44" s="59" t="n"/>
      <c r="I44" s="60" t="n"/>
      <c r="J44" s="60" t="n"/>
      <c r="K44" s="60" t="n"/>
      <c r="L44" s="60">
        <f>J44*K44</f>
        <v/>
      </c>
      <c r="M44" s="60">
        <f>IF(L44&gt;9,"Extremo",IF(L44&gt;7,"Alto",IF(L44&gt;3,"Moderado","Baixo")))</f>
        <v/>
      </c>
      <c r="N44" s="60" t="n"/>
    </row>
    <row r="45">
      <c r="B45" s="56">
        <f>B44+1</f>
        <v/>
      </c>
      <c r="C45" s="57" t="n"/>
      <c r="D45" s="57" t="n"/>
      <c r="E45" s="58" t="n"/>
      <c r="F45" s="58" t="n"/>
      <c r="G45" s="64" t="n"/>
      <c r="H45" s="59" t="n"/>
      <c r="I45" s="60" t="n"/>
      <c r="J45" s="60" t="n"/>
      <c r="K45" s="60" t="n"/>
      <c r="L45" s="60">
        <f>J45*K45</f>
        <v/>
      </c>
      <c r="M45" s="60">
        <f>IF(L45&gt;9,"Extremo",IF(L45&gt;7,"Alto",IF(L45&gt;3,"Moderado","Baixo")))</f>
        <v/>
      </c>
      <c r="N45" s="60" t="n"/>
    </row>
    <row r="46">
      <c r="B46" s="56">
        <f>B45+1</f>
        <v/>
      </c>
      <c r="C46" s="57" t="n"/>
      <c r="D46" s="57" t="n"/>
      <c r="E46" s="58" t="n"/>
      <c r="F46" s="58" t="n"/>
      <c r="G46" s="66" t="n"/>
      <c r="H46" s="59" t="n"/>
      <c r="I46" s="57" t="n"/>
      <c r="J46" s="57" t="n"/>
      <c r="K46" s="57" t="n"/>
      <c r="L46" s="57">
        <f>J46*K46</f>
        <v/>
      </c>
      <c r="M46" s="57">
        <f>IF(L46&gt;9,"Extremo",IF(L46&gt;7,"Alto",IF(L46&gt;3,"Moderado","Baixo")))</f>
        <v/>
      </c>
      <c r="N46" s="57" t="n"/>
    </row>
    <row r="47">
      <c r="B47" s="56">
        <f>B46+1</f>
        <v/>
      </c>
      <c r="C47" s="57" t="n"/>
      <c r="D47" s="57" t="n"/>
      <c r="E47" s="63" t="n"/>
      <c r="F47" s="63" t="n"/>
      <c r="G47" s="66" t="n"/>
      <c r="H47" s="59" t="n"/>
      <c r="I47" s="57" t="n"/>
      <c r="J47" s="57" t="n"/>
      <c r="K47" s="57" t="n"/>
      <c r="L47" s="57">
        <f>J47*K47</f>
        <v/>
      </c>
      <c r="M47" s="57">
        <f>IF(L47&gt;9,"Extremo",IF(L47&gt;7,"Alto",IF(L47&gt;3,"Moderado","Baixo")))</f>
        <v/>
      </c>
      <c r="N47" s="57" t="n"/>
    </row>
    <row r="48">
      <c r="B48" s="56">
        <f>B47+1</f>
        <v/>
      </c>
      <c r="C48" s="57" t="n"/>
      <c r="D48" s="57" t="n"/>
      <c r="E48" s="63" t="n"/>
      <c r="F48" s="63" t="n"/>
      <c r="G48" s="66" t="n"/>
      <c r="H48" s="59" t="n"/>
      <c r="I48" s="57" t="n"/>
      <c r="J48" s="57" t="n"/>
      <c r="K48" s="57" t="n"/>
      <c r="L48" s="57">
        <f>J48*K48</f>
        <v/>
      </c>
      <c r="M48" s="57">
        <f>IF(L48&gt;9,"Extremo",IF(L48&gt;7,"Alto",IF(L48&gt;3,"Moderado","Baixo")))</f>
        <v/>
      </c>
      <c r="N48" s="57" t="n"/>
    </row>
    <row r="49">
      <c r="A49" s="67" t="n"/>
      <c r="B49" s="56">
        <f>B48+1</f>
        <v/>
      </c>
      <c r="C49" s="63" t="n"/>
      <c r="D49" s="63" t="n"/>
      <c r="E49" s="63" t="n"/>
      <c r="F49" s="63" t="n"/>
      <c r="G49" s="66" t="n"/>
      <c r="H49" s="65" t="n"/>
      <c r="I49" s="57" t="n"/>
      <c r="J49" s="57" t="n"/>
      <c r="K49" s="57" t="n"/>
      <c r="L49" s="57">
        <f>J49*K49</f>
        <v/>
      </c>
      <c r="M49" s="57">
        <f>IF(L49&gt;9,"Extremo",IF(L49&gt;7,"Alto",IF(L49&gt;3,"Moderado","Baixo")))</f>
        <v/>
      </c>
      <c r="N49" s="57" t="n"/>
    </row>
    <row r="50">
      <c r="B50" s="68" t="n"/>
      <c r="C50" s="69" t="n"/>
      <c r="D50" s="69" t="n"/>
      <c r="E50" s="67" t="n"/>
      <c r="F50" s="67" t="n"/>
      <c r="G50" s="67" t="n"/>
      <c r="H50" s="67" t="n"/>
      <c r="I50" s="70" t="n"/>
      <c r="J50" s="70" t="n"/>
      <c r="K50" s="70" t="n"/>
      <c r="L50" s="70" t="n"/>
      <c r="M50" s="70" t="n"/>
      <c r="N50" s="70" t="n"/>
    </row>
    <row r="51">
      <c r="B51" s="68" t="n"/>
      <c r="C51" s="69" t="n"/>
      <c r="D51" s="69" t="n"/>
      <c r="E51" s="67" t="n"/>
      <c r="F51" s="67" t="n"/>
      <c r="G51" s="67" t="n"/>
      <c r="H51" s="67" t="n"/>
      <c r="I51" s="70" t="n"/>
      <c r="J51" s="70" t="n"/>
      <c r="K51" s="70" t="n"/>
      <c r="L51" s="70" t="n"/>
      <c r="M51" s="70" t="n"/>
      <c r="N51" s="70" t="n"/>
    </row>
    <row r="52">
      <c r="B52" s="68" t="n"/>
      <c r="C52" s="69" t="n"/>
      <c r="D52" s="69" t="n"/>
      <c r="E52" s="67" t="n"/>
      <c r="F52" s="67" t="n"/>
      <c r="G52" s="67" t="n"/>
      <c r="H52" s="67" t="n"/>
      <c r="I52" s="70" t="n"/>
      <c r="J52" s="70" t="n"/>
      <c r="K52" s="70" t="n"/>
      <c r="L52" s="70" t="n"/>
      <c r="M52" s="70" t="n"/>
      <c r="N52" s="70" t="n"/>
    </row>
    <row r="53">
      <c r="B53" s="68" t="n"/>
      <c r="C53" s="69" t="n"/>
      <c r="D53" s="69" t="n"/>
      <c r="E53" s="67" t="n"/>
      <c r="F53" s="67" t="n"/>
      <c r="G53" s="67" t="n"/>
      <c r="H53" s="67" t="n"/>
      <c r="I53" s="70" t="n"/>
      <c r="J53" s="70" t="n"/>
      <c r="K53" s="70" t="n"/>
      <c r="L53" s="70" t="n"/>
      <c r="M53" s="70" t="n"/>
      <c r="N53" s="70" t="n"/>
    </row>
    <row r="54">
      <c r="B54" s="68" t="n"/>
      <c r="C54" s="69" t="n"/>
      <c r="D54" s="69" t="n"/>
      <c r="E54" s="67" t="n"/>
      <c r="F54" s="67" t="n"/>
      <c r="G54" s="67" t="n"/>
      <c r="H54" s="67" t="n"/>
      <c r="I54" s="70" t="n"/>
      <c r="J54" s="70" t="n"/>
      <c r="K54" s="70" t="n"/>
      <c r="L54" s="70" t="n"/>
      <c r="M54" s="70" t="n"/>
      <c r="N54" s="70" t="n"/>
    </row>
    <row r="55">
      <c r="B55" s="68" t="n"/>
      <c r="C55" s="69" t="n"/>
      <c r="D55" s="69" t="n"/>
      <c r="E55" s="67" t="n"/>
      <c r="F55" s="67" t="n"/>
      <c r="G55" s="67" t="n"/>
      <c r="H55" s="67" t="n"/>
      <c r="I55" s="70" t="n"/>
      <c r="J55" s="70" t="n"/>
      <c r="K55" s="70" t="n"/>
      <c r="L55" s="70" t="n"/>
      <c r="M55" s="70" t="n"/>
      <c r="N55" s="70" t="n"/>
    </row>
    <row r="56">
      <c r="B56" s="68" t="n"/>
      <c r="C56" s="69" t="n"/>
      <c r="D56" s="69" t="n"/>
      <c r="E56" s="67" t="n"/>
      <c r="F56" s="67" t="n"/>
      <c r="G56" s="67" t="n"/>
      <c r="H56" s="67" t="n"/>
      <c r="I56" s="70" t="n"/>
      <c r="J56" s="70" t="n"/>
      <c r="K56" s="70" t="n"/>
      <c r="L56" s="70" t="n"/>
      <c r="M56" s="70" t="n"/>
      <c r="N56" s="70" t="n"/>
    </row>
    <row r="57">
      <c r="B57" s="68" t="n"/>
      <c r="C57" s="69" t="n"/>
      <c r="D57" s="69" t="n"/>
      <c r="E57" s="67" t="n"/>
      <c r="F57" s="67" t="n"/>
      <c r="G57" s="67" t="n"/>
      <c r="H57" s="67" t="n"/>
      <c r="I57" s="70" t="n"/>
      <c r="J57" s="70" t="n"/>
      <c r="K57" s="70" t="n"/>
      <c r="L57" s="70" t="n"/>
      <c r="M57" s="70" t="n"/>
      <c r="N57" s="70" t="n"/>
    </row>
    <row r="58" ht="11.25" customHeight="1">
      <c r="B58" s="68" t="n"/>
      <c r="C58" s="69" t="n"/>
      <c r="D58" s="69" t="n"/>
      <c r="E58" s="71" t="n"/>
      <c r="F58" s="71" t="n"/>
      <c r="G58" s="71" t="n"/>
      <c r="H58" s="67" t="n"/>
      <c r="I58" s="70" t="n"/>
      <c r="J58" s="70" t="n"/>
      <c r="K58" s="70" t="n"/>
      <c r="L58" s="70" t="n"/>
      <c r="M58" s="70" t="n"/>
      <c r="N58" s="70" t="n"/>
    </row>
    <row r="59" ht="11.25" customHeight="1">
      <c r="B59" s="68" t="n"/>
      <c r="C59" s="69" t="n"/>
      <c r="D59" s="69" t="n"/>
      <c r="E59" s="71" t="n"/>
      <c r="F59" s="71" t="n"/>
      <c r="G59" s="71" t="n"/>
      <c r="H59" s="67" t="n"/>
      <c r="I59" s="70" t="n"/>
      <c r="J59" s="70" t="n"/>
      <c r="K59" s="70" t="n"/>
      <c r="L59" s="70" t="n"/>
      <c r="M59" s="70" t="n"/>
      <c r="N59" s="70" t="n"/>
    </row>
    <row r="60">
      <c r="B60" s="68" t="n"/>
      <c r="C60" s="69" t="n"/>
      <c r="D60" s="69" t="n"/>
      <c r="E60" s="67" t="n"/>
      <c r="F60" s="67" t="n"/>
      <c r="G60" s="67" t="n"/>
      <c r="H60" s="67" t="n"/>
      <c r="I60" s="70" t="n"/>
      <c r="J60" s="70" t="n"/>
      <c r="K60" s="70" t="n"/>
      <c r="L60" s="70" t="n"/>
      <c r="M60" s="70" t="n"/>
      <c r="N60" s="70" t="n"/>
    </row>
    <row r="61">
      <c r="B61" s="68" t="n"/>
      <c r="C61" s="69" t="n"/>
      <c r="D61" s="69" t="n"/>
      <c r="E61" s="67" t="n"/>
      <c r="F61" s="67" t="n"/>
      <c r="G61" s="67" t="n"/>
      <c r="H61" s="67" t="n"/>
      <c r="I61" s="70" t="n"/>
      <c r="J61" s="70" t="n"/>
      <c r="K61" s="70" t="n"/>
      <c r="L61" s="70" t="n"/>
      <c r="M61" s="70" t="n"/>
      <c r="N61" s="70" t="n"/>
    </row>
    <row r="62">
      <c r="B62" s="68" t="n"/>
      <c r="C62" s="69" t="n"/>
      <c r="D62" s="69" t="n"/>
      <c r="E62" s="67" t="n"/>
      <c r="F62" s="67" t="n"/>
      <c r="G62" s="67" t="n"/>
      <c r="H62" s="67" t="n"/>
      <c r="I62" s="70" t="n"/>
      <c r="J62" s="70" t="n"/>
      <c r="K62" s="70" t="n"/>
      <c r="L62" s="70" t="n"/>
      <c r="M62" s="70" t="n"/>
      <c r="N62" s="70" t="n"/>
    </row>
    <row r="63">
      <c r="B63" s="68" t="n"/>
      <c r="C63" s="69" t="n"/>
      <c r="D63" s="69" t="n"/>
      <c r="E63" s="67" t="n"/>
      <c r="F63" s="67" t="n"/>
      <c r="G63" s="67" t="n"/>
      <c r="H63" s="67" t="n"/>
      <c r="I63" s="70" t="n"/>
      <c r="J63" s="70" t="n"/>
      <c r="K63" s="70" t="n"/>
      <c r="L63" s="70" t="n"/>
      <c r="M63" s="70" t="n"/>
      <c r="N63" s="70" t="n"/>
    </row>
    <row r="64">
      <c r="B64" s="68" t="n"/>
      <c r="C64" s="69" t="n"/>
      <c r="D64" s="69" t="n"/>
      <c r="E64" s="67" t="n"/>
      <c r="F64" s="67" t="n"/>
      <c r="G64" s="67" t="n"/>
      <c r="H64" s="67" t="n"/>
      <c r="I64" s="70" t="n"/>
      <c r="J64" s="70" t="n"/>
      <c r="K64" s="70" t="n"/>
      <c r="L64" s="70" t="n"/>
      <c r="M64" s="70" t="n"/>
      <c r="N64" s="70" t="n"/>
    </row>
    <row r="65">
      <c r="B65" s="68" t="n"/>
      <c r="C65" s="69" t="n"/>
      <c r="D65" s="69" t="n"/>
      <c r="E65" s="67" t="n"/>
      <c r="F65" s="67" t="n"/>
      <c r="G65" s="67" t="n"/>
      <c r="H65" s="67" t="n"/>
      <c r="I65" s="70" t="n"/>
      <c r="J65" s="70" t="n"/>
      <c r="K65" s="70" t="n"/>
      <c r="L65" s="70" t="n"/>
      <c r="M65" s="70" t="n"/>
      <c r="N65" s="70" t="n"/>
    </row>
    <row r="66">
      <c r="B66" s="68" t="n"/>
      <c r="C66" s="69" t="n"/>
      <c r="D66" s="69" t="n"/>
      <c r="E66" s="67" t="n"/>
      <c r="F66" s="67" t="n"/>
      <c r="G66" s="67" t="n"/>
      <c r="H66" s="67" t="n"/>
      <c r="I66" s="70" t="n"/>
      <c r="J66" s="70" t="n"/>
      <c r="K66" s="70" t="n"/>
      <c r="L66" s="70" t="n"/>
      <c r="M66" s="70" t="n"/>
      <c r="N66" s="70" t="n"/>
    </row>
    <row r="67">
      <c r="B67" s="68" t="n"/>
      <c r="C67" s="69" t="n"/>
      <c r="D67" s="69" t="n"/>
      <c r="E67" s="67" t="n"/>
      <c r="F67" s="67" t="n"/>
      <c r="G67" s="67" t="n"/>
      <c r="H67" s="67" t="n"/>
      <c r="I67" s="70" t="n"/>
      <c r="J67" s="70" t="n"/>
      <c r="K67" s="70" t="n"/>
      <c r="L67" s="70" t="n"/>
      <c r="M67" s="70" t="n"/>
      <c r="N67" s="70" t="n"/>
    </row>
    <row r="68">
      <c r="B68" s="68" t="n"/>
      <c r="C68" s="69" t="n"/>
      <c r="D68" s="69" t="n"/>
      <c r="E68" s="67" t="n"/>
      <c r="F68" s="67" t="n"/>
      <c r="G68" s="67" t="n"/>
      <c r="H68" s="67" t="n"/>
      <c r="I68" s="70" t="n"/>
      <c r="J68" s="70" t="n"/>
      <c r="K68" s="70" t="n"/>
      <c r="L68" s="70" t="n"/>
      <c r="M68" s="70" t="n"/>
      <c r="N68" s="70" t="n"/>
    </row>
    <row r="69">
      <c r="B69" s="68" t="n"/>
      <c r="C69" s="69" t="n"/>
      <c r="D69" s="69" t="n"/>
      <c r="E69" s="67" t="n"/>
      <c r="F69" s="67" t="n"/>
      <c r="G69" s="67" t="n"/>
      <c r="H69" s="67" t="n"/>
      <c r="I69" s="70" t="n"/>
      <c r="J69" s="70" t="n"/>
      <c r="K69" s="70" t="n"/>
      <c r="L69" s="70" t="n"/>
      <c r="M69" s="70" t="n"/>
      <c r="N69" s="70" t="n"/>
    </row>
    <row r="70">
      <c r="B70" s="68" t="n"/>
      <c r="C70" s="69" t="n"/>
      <c r="D70" s="69" t="n"/>
      <c r="E70" s="67" t="n"/>
      <c r="F70" s="67" t="n"/>
      <c r="G70" s="67" t="n"/>
      <c r="H70" s="67" t="n"/>
      <c r="I70" s="70" t="n"/>
      <c r="J70" s="70" t="n"/>
      <c r="K70" s="70" t="n"/>
      <c r="L70" s="70" t="n"/>
      <c r="M70" s="70" t="n"/>
      <c r="N70" s="70" t="n"/>
    </row>
    <row r="71">
      <c r="B71" s="68" t="n"/>
      <c r="C71" s="69" t="n"/>
      <c r="D71" s="69" t="n"/>
      <c r="E71" s="67" t="n"/>
      <c r="F71" s="67" t="n"/>
      <c r="G71" s="67" t="n"/>
      <c r="H71" s="67" t="n"/>
      <c r="I71" s="70" t="n"/>
      <c r="J71" s="70" t="n"/>
      <c r="K71" s="70" t="n"/>
      <c r="L71" s="70" t="n"/>
      <c r="M71" s="70" t="n"/>
      <c r="N71" s="70" t="n"/>
    </row>
    <row r="72">
      <c r="B72" s="68" t="n"/>
      <c r="C72" s="69" t="n"/>
      <c r="D72" s="69" t="n"/>
      <c r="E72" s="67" t="n"/>
      <c r="F72" s="67" t="n"/>
      <c r="G72" s="67" t="n"/>
      <c r="H72" s="67" t="n"/>
      <c r="I72" s="70" t="n"/>
      <c r="J72" s="70" t="n"/>
      <c r="K72" s="70" t="n"/>
      <c r="L72" s="70" t="n"/>
      <c r="M72" s="70" t="n"/>
      <c r="N72" s="70" t="n"/>
    </row>
    <row r="73">
      <c r="B73" s="68" t="n"/>
      <c r="C73" s="69" t="n"/>
      <c r="D73" s="69" t="n"/>
      <c r="E73" s="67" t="n"/>
      <c r="F73" s="67" t="n"/>
      <c r="G73" s="67" t="n"/>
      <c r="H73" s="67" t="n"/>
      <c r="I73" s="70" t="n"/>
      <c r="J73" s="70" t="n"/>
      <c r="K73" s="70" t="n"/>
      <c r="L73" s="70" t="n"/>
      <c r="M73" s="70" t="n"/>
      <c r="N73" s="70" t="n"/>
    </row>
    <row r="74">
      <c r="B74" s="68" t="n"/>
      <c r="C74" s="69" t="n"/>
      <c r="D74" s="69" t="n"/>
      <c r="E74" s="67" t="n"/>
      <c r="F74" s="67" t="n"/>
      <c r="G74" s="67" t="n"/>
      <c r="H74" s="67" t="n"/>
      <c r="I74" s="70" t="n"/>
      <c r="J74" s="70" t="n"/>
      <c r="K74" s="70" t="n"/>
      <c r="L74" s="70" t="n"/>
      <c r="M74" s="70" t="n"/>
      <c r="N74" s="70" t="n"/>
    </row>
    <row r="75">
      <c r="B75" s="68" t="n"/>
      <c r="C75" s="69" t="n"/>
      <c r="D75" s="69" t="n"/>
      <c r="E75" s="67" t="n"/>
      <c r="F75" s="67" t="n"/>
      <c r="G75" s="67" t="n"/>
      <c r="H75" s="67" t="n"/>
      <c r="I75" s="70" t="n"/>
      <c r="J75" s="70" t="n"/>
      <c r="K75" s="70" t="n"/>
      <c r="L75" s="70" t="n"/>
      <c r="M75" s="70" t="n"/>
      <c r="N75" s="70" t="n"/>
    </row>
    <row r="76">
      <c r="B76" s="68" t="n"/>
      <c r="C76" s="69" t="n"/>
      <c r="D76" s="69" t="n"/>
      <c r="E76" s="67" t="n"/>
      <c r="F76" s="67" t="n"/>
      <c r="G76" s="67" t="n"/>
      <c r="H76" s="67" t="n"/>
      <c r="I76" s="70" t="n"/>
      <c r="J76" s="70" t="n"/>
      <c r="K76" s="70" t="n"/>
      <c r="L76" s="70" t="n"/>
      <c r="M76" s="70" t="n"/>
      <c r="N76" s="70" t="n"/>
    </row>
    <row r="77">
      <c r="B77" s="68" t="n"/>
      <c r="C77" s="69" t="n"/>
      <c r="D77" s="69" t="n"/>
      <c r="E77" s="67" t="n"/>
      <c r="F77" s="67" t="n"/>
      <c r="G77" s="67" t="n"/>
      <c r="H77" s="67" t="n"/>
      <c r="I77" s="70" t="n"/>
      <c r="J77" s="70" t="n"/>
      <c r="K77" s="70" t="n"/>
      <c r="L77" s="70" t="n"/>
      <c r="M77" s="70" t="n"/>
      <c r="N77" s="70" t="n"/>
    </row>
    <row r="78">
      <c r="B78" s="68" t="n"/>
      <c r="C78" s="69" t="n"/>
      <c r="D78" s="69" t="n"/>
      <c r="E78" s="67" t="n"/>
      <c r="F78" s="67" t="n"/>
      <c r="G78" s="67" t="n"/>
      <c r="H78" s="67" t="n"/>
      <c r="I78" s="70" t="n"/>
      <c r="J78" s="70" t="n"/>
      <c r="K78" s="70" t="n"/>
      <c r="L78" s="70" t="n"/>
      <c r="M78" s="70" t="n"/>
      <c r="N78" s="70" t="n"/>
    </row>
    <row r="79">
      <c r="B79" s="68" t="n"/>
      <c r="C79" s="69" t="n"/>
      <c r="D79" s="69" t="n"/>
      <c r="E79" s="67" t="n"/>
      <c r="F79" s="67" t="n"/>
      <c r="G79" s="67" t="n"/>
      <c r="H79" s="67" t="n"/>
      <c r="I79" s="70" t="n"/>
      <c r="J79" s="70" t="n"/>
      <c r="K79" s="70" t="n"/>
      <c r="L79" s="70" t="n"/>
      <c r="M79" s="70" t="n"/>
      <c r="N79" s="70" t="n"/>
    </row>
    <row r="80">
      <c r="B80" s="68" t="n"/>
      <c r="C80" s="69" t="n"/>
      <c r="D80" s="69" t="n"/>
      <c r="E80" s="67" t="n"/>
      <c r="F80" s="67" t="n"/>
      <c r="G80" s="67" t="n"/>
      <c r="H80" s="67" t="n"/>
      <c r="I80" s="70" t="n"/>
      <c r="J80" s="70" t="n"/>
      <c r="K80" s="70" t="n"/>
      <c r="L80" s="70" t="n"/>
      <c r="M80" s="70" t="n"/>
      <c r="N80" s="70" t="n"/>
    </row>
    <row r="81">
      <c r="B81" s="68" t="n"/>
      <c r="C81" s="69" t="n"/>
      <c r="D81" s="69" t="n"/>
      <c r="E81" s="67" t="n"/>
      <c r="F81" s="67" t="n"/>
      <c r="G81" s="67" t="n"/>
      <c r="H81" s="67" t="n"/>
      <c r="I81" s="70" t="n"/>
      <c r="J81" s="70" t="n"/>
      <c r="K81" s="70" t="n"/>
      <c r="L81" s="70" t="n"/>
      <c r="M81" s="70" t="n"/>
      <c r="N81" s="70" t="n"/>
    </row>
    <row r="82">
      <c r="B82" s="68" t="n"/>
      <c r="C82" s="69" t="n"/>
      <c r="D82" s="69" t="n"/>
      <c r="E82" s="67" t="n"/>
      <c r="F82" s="67" t="n"/>
      <c r="G82" s="67" t="n"/>
      <c r="H82" s="67" t="n"/>
      <c r="I82" s="70" t="n"/>
      <c r="J82" s="70" t="n"/>
      <c r="K82" s="70" t="n"/>
      <c r="L82" s="70" t="n"/>
      <c r="M82" s="70" t="n"/>
      <c r="N82" s="70" t="n"/>
    </row>
    <row r="83">
      <c r="B83" s="68" t="n"/>
      <c r="C83" s="69" t="n"/>
      <c r="D83" s="69" t="n"/>
      <c r="E83" s="67" t="n"/>
      <c r="F83" s="67" t="n"/>
      <c r="G83" s="67" t="n"/>
      <c r="H83" s="67" t="n"/>
      <c r="I83" s="70" t="n"/>
      <c r="J83" s="70" t="n"/>
      <c r="K83" s="70" t="n"/>
      <c r="L83" s="70" t="n"/>
      <c r="M83" s="70" t="n"/>
      <c r="N83" s="70" t="n"/>
    </row>
  </sheetData>
  <autoFilter ref="B9:N83"/>
  <mergeCells count="9">
    <mergeCell ref="D6:E6"/>
    <mergeCell ref="B6:C6"/>
    <mergeCell ref="B3:C3"/>
    <mergeCell ref="B5:C5"/>
    <mergeCell ref="J8:M8"/>
    <mergeCell ref="D5:E5"/>
    <mergeCell ref="D4:E4"/>
    <mergeCell ref="D3:E3"/>
    <mergeCell ref="B4:C4"/>
  </mergeCells>
  <pageMargins left="0.511805555555555" right="0.511805555555555" top="0.7875" bottom="0.7875" header="0.511805555555555" footer="0.511805555555555"/>
  <pageSetup orientation="portrait" paperSize="9" firstPageNumber="0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5:G10"/>
  <sheetViews>
    <sheetView tabSelected="1" zoomScale="150" zoomScaleNormal="150" workbookViewId="0">
      <selection activeCell="F8" sqref="F8"/>
    </sheetView>
  </sheetViews>
  <sheetFormatPr baseColWidth="10" defaultColWidth="10.83203125" defaultRowHeight="15"/>
  <cols>
    <col width="8.6640625" customWidth="1" min="2" max="2"/>
    <col width="15.1640625" customWidth="1" min="3" max="3"/>
    <col width="12.33203125" customWidth="1" min="4" max="4"/>
    <col width="12" customWidth="1" min="5" max="5"/>
    <col width="13.1640625" customWidth="1" min="6" max="6"/>
    <col width="12.6640625" customWidth="1" min="7" max="7"/>
  </cols>
  <sheetData>
    <row r="5">
      <c r="C5" s="26" t="n"/>
      <c r="D5" s="7" t="inlineStr">
        <is>
          <t>CONSEQUÊNCIA</t>
        </is>
      </c>
      <c r="E5" s="77" t="n"/>
      <c r="F5" s="77" t="n"/>
      <c r="G5" s="77" t="n"/>
    </row>
    <row r="6">
      <c r="C6" s="27" t="inlineStr">
        <is>
          <t>PROBABILIDADE</t>
        </is>
      </c>
      <c r="D6" s="28" t="inlineStr">
        <is>
          <t>BAIXA (1)</t>
        </is>
      </c>
      <c r="E6" s="28" t="inlineStr">
        <is>
          <t>MODERADA (2)</t>
        </is>
      </c>
      <c r="F6" s="28" t="inlineStr">
        <is>
          <t>ALTA (3)</t>
        </is>
      </c>
      <c r="G6" s="28" t="inlineStr">
        <is>
          <t>CATASTRÓFICA (4)</t>
        </is>
      </c>
    </row>
    <row r="7">
      <c r="C7" s="30" t="inlineStr">
        <is>
          <t>QUASE CERTA (4)</t>
        </is>
      </c>
      <c r="D7" s="31" t="n"/>
      <c r="E7" s="32" t="n"/>
      <c r="F7" s="33" t="n"/>
      <c r="G7" s="33" t="n"/>
    </row>
    <row r="8">
      <c r="C8" s="30" t="inlineStr">
        <is>
          <t>PROVÁVEL (3)</t>
        </is>
      </c>
      <c r="D8" s="31" t="n"/>
      <c r="E8" s="31" t="n"/>
      <c r="F8" s="32" t="n"/>
      <c r="G8" s="33" t="n"/>
    </row>
    <row r="9">
      <c r="C9" s="30" t="inlineStr">
        <is>
          <t>POSSÍVEL (2)</t>
        </is>
      </c>
      <c r="D9" s="35" t="n"/>
      <c r="E9" s="31" t="n"/>
      <c r="F9" s="31" t="n"/>
      <c r="G9" s="32" t="n"/>
    </row>
    <row r="10">
      <c r="C10" s="30" t="inlineStr">
        <is>
          <t>IMPROVÁVEL (1)</t>
        </is>
      </c>
      <c r="D10" s="35" t="n"/>
      <c r="E10" s="35" t="n"/>
      <c r="F10" s="31" t="n"/>
      <c r="G10" s="31" t="n"/>
    </row>
  </sheetData>
  <mergeCells count="1">
    <mergeCell ref="D5:G5"/>
  </mergeCells>
  <pageMargins left="0.511805555555555" right="0.511805555555555" top="0.7875" bottom="0.7875" header="0.511805555555555" footer="0.511805555555555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ppoi</dc:creator>
  <dc:language>pt-BR</dc:language>
  <dcterms:created xsi:type="dcterms:W3CDTF">2015-04-14T20:01:00Z</dcterms:created>
  <dcterms:modified xsi:type="dcterms:W3CDTF">2026-03-30T21:51:15Z</dcterms:modified>
  <cp:lastModifiedBy>Rodolfo da Silva Avelino</cp:lastModifiedBy>
  <cp:revision>75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KSOProductBuildVer" fmtid="{D5CDD505-2E9C-101B-9397-08002B2CF9AE}" pid="5">
    <vt:lpwstr>1033-11.1.0.8865</vt:lpwstr>
  </property>
  <property name="LinksUpToDate" fmtid="{D5CDD505-2E9C-101B-9397-08002B2CF9AE}" pid="6">
    <vt:bool>0</vt:bool>
  </property>
  <property name="ScaleCrop" fmtid="{D5CDD505-2E9C-101B-9397-08002B2CF9AE}" pid="7">
    <vt:bool>0</vt:bool>
  </property>
  <property name="ShareDoc" fmtid="{D5CDD505-2E9C-101B-9397-08002B2CF9AE}" pid="8">
    <vt:bool>0</vt:bool>
  </property>
</Properties>
</file>